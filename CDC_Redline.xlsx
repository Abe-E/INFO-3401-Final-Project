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abeepstein/Downloads/"/>
    </mc:Choice>
  </mc:AlternateContent>
  <xr:revisionPtr revIDLastSave="0" documentId="13_ncr:1_{EF1D5F8F-1D8A-2942-B088-ACDDE63C736D}" xr6:coauthVersionLast="47" xr6:coauthVersionMax="47" xr10:uidLastSave="{00000000-0000-0000-0000-000000000000}"/>
  <bookViews>
    <workbookView xWindow="10940" yWindow="4400" windowWidth="28040" windowHeight="16940" activeTab="4" xr2:uid="{0C6A2984-57CC-4847-87D5-1280AC098223}"/>
  </bookViews>
  <sheets>
    <sheet name="Overall Data" sheetId="2" r:id="rId1"/>
    <sheet name="Pivot Table + Figure" sheetId="5" r:id="rId2"/>
    <sheet name="Diabetes Regression" sheetId="1" r:id="rId3"/>
    <sheet name="Cancer Regression" sheetId="6" r:id="rId4"/>
    <sheet name="Doctor Visits Regression" sheetId="8" r:id="rId5"/>
  </sheets>
  <definedNames>
    <definedName name="Slicer_Measure">#N/A</definedName>
  </definedNames>
  <calcPr calcId="191029"/>
  <pivotCaches>
    <pivotCache cacheId="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3" i="8" l="1"/>
  <c r="R4" i="8"/>
  <c r="R5" i="8"/>
  <c r="R6" i="8"/>
  <c r="R7" i="8"/>
  <c r="R8" i="8"/>
  <c r="R9" i="8"/>
  <c r="R10" i="8"/>
  <c r="R11" i="8"/>
  <c r="R12" i="8"/>
  <c r="R13" i="8"/>
  <c r="R14" i="8"/>
  <c r="R15" i="8"/>
  <c r="R16" i="8"/>
  <c r="R17" i="8"/>
  <c r="R18" i="8"/>
  <c r="R19" i="8"/>
  <c r="R20" i="8"/>
  <c r="R21" i="8"/>
  <c r="R22" i="8"/>
  <c r="R23" i="8"/>
  <c r="R24" i="8"/>
  <c r="R25" i="8"/>
  <c r="R26" i="8"/>
  <c r="R27" i="8"/>
  <c r="R28" i="8"/>
  <c r="R29" i="8"/>
  <c r="R30" i="8"/>
  <c r="R31"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R2" i="8"/>
  <c r="P2" i="8"/>
  <c r="M34" i="8"/>
  <c r="G34" i="8"/>
  <c r="M33" i="8"/>
  <c r="G33" i="8"/>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R2" i="6"/>
  <c r="P2" i="6"/>
  <c r="M34" i="6"/>
  <c r="M33" i="6"/>
  <c r="G34" i="6"/>
  <c r="G33" i="6"/>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c r="M95" i="2" a="1"/>
  <c r="M95" i="2" s="1"/>
  <c r="M96" i="2" a="1"/>
  <c r="M96" i="2" s="1"/>
  <c r="M97" i="2" a="1"/>
  <c r="M97" i="2" s="1"/>
  <c r="M98" i="2" a="1"/>
  <c r="M98" i="2" s="1"/>
  <c r="M99" i="2" a="1"/>
  <c r="M99" i="2" s="1"/>
  <c r="M100" i="2" a="1"/>
  <c r="M100" i="2" s="1"/>
  <c r="M101" i="2" a="1"/>
  <c r="M101" i="2"/>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c r="M349" i="2" a="1"/>
  <c r="M349" i="2" s="1"/>
  <c r="M350" i="2" a="1"/>
  <c r="M350" i="2"/>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s="1"/>
  <c r="M840" i="2" a="1"/>
  <c r="M840" i="2"/>
  <c r="M841" i="2" a="1"/>
  <c r="M841" i="2" s="1"/>
  <c r="M842" i="2" a="1"/>
  <c r="M842" i="2" s="1"/>
  <c r="M843" i="2" a="1"/>
  <c r="M843" i="2" s="1"/>
  <c r="M844" i="2" a="1"/>
  <c r="M844" i="2" s="1"/>
  <c r="M845" i="2" a="1"/>
  <c r="M845" i="2"/>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c r="M903" i="2" a="1"/>
  <c r="M903" i="2" s="1"/>
  <c r="M904" i="2" a="1"/>
  <c r="M904" i="2"/>
  <c r="M905" i="2" a="1"/>
  <c r="M905" i="2" s="1"/>
  <c r="M906" i="2" a="1"/>
  <c r="M906" i="2" s="1"/>
  <c r="M907" i="2" a="1"/>
  <c r="M907" i="2" s="1"/>
  <c r="M908" i="2" a="1"/>
  <c r="M908" i="2" s="1"/>
  <c r="M909" i="2" a="1"/>
  <c r="M909" i="2" s="1"/>
  <c r="M910" i="2" a="1"/>
  <c r="M910" i="2" s="1"/>
  <c r="M911" i="2" a="1"/>
  <c r="M911" i="2" s="1"/>
  <c r="M912" i="2" a="1"/>
  <c r="M912" i="2" s="1"/>
  <c r="M913" i="2" a="1"/>
  <c r="M913" i="2"/>
  <c r="M914" i="2" a="1"/>
  <c r="M914" i="2" s="1"/>
  <c r="M915" i="2" a="1"/>
  <c r="M915" i="2" s="1"/>
  <c r="M916" i="2" a="1"/>
  <c r="M916" i="2" s="1"/>
  <c r="M917" i="2" a="1"/>
  <c r="M917" i="2" s="1"/>
  <c r="M918" i="2" a="1"/>
  <c r="M918" i="2" s="1"/>
  <c r="M919" i="2" a="1"/>
  <c r="M919" i="2" s="1"/>
  <c r="M920" i="2" a="1"/>
  <c r="M920" i="2" s="1"/>
  <c r="M921" i="2" a="1"/>
  <c r="M921" i="2"/>
  <c r="M922" i="2" a="1"/>
  <c r="M922" i="2" s="1"/>
  <c r="M923" i="2" a="1"/>
  <c r="M923" i="2" s="1"/>
  <c r="M924" i="2" a="1"/>
  <c r="M924" i="2" s="1"/>
  <c r="M925" i="2" a="1"/>
  <c r="M925" i="2" s="1"/>
  <c r="M926" i="2" a="1"/>
  <c r="M926" i="2" s="1"/>
  <c r="M927" i="2" a="1"/>
  <c r="M927" i="2" s="1"/>
  <c r="M928" i="2" a="1"/>
  <c r="M928" i="2" s="1"/>
  <c r="M929" i="2" a="1"/>
  <c r="M929" i="2"/>
  <c r="M930" i="2" a="1"/>
  <c r="M930" i="2" s="1"/>
  <c r="M931" i="2" a="1"/>
  <c r="M931" i="2" s="1"/>
  <c r="M932" i="2" a="1"/>
  <c r="M932" i="2" s="1"/>
  <c r="M933" i="2" a="1"/>
  <c r="M933" i="2" s="1"/>
  <c r="M934" i="2" a="1"/>
  <c r="M934" i="2"/>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c r="M946" i="2" a="1"/>
  <c r="M946" i="2" s="1"/>
  <c r="M947" i="2" a="1"/>
  <c r="M947" i="2" s="1"/>
  <c r="M948" i="2" a="1"/>
  <c r="M948" i="2"/>
  <c r="M949" i="2" a="1"/>
  <c r="M949" i="2" s="1"/>
  <c r="M950" i="2" a="1"/>
  <c r="M950" i="2" s="1"/>
  <c r="M951" i="2" a="1"/>
  <c r="M951" i="2" s="1"/>
  <c r="M952" i="2" a="1"/>
  <c r="M952" i="2" s="1"/>
  <c r="M953" i="2" a="1"/>
  <c r="M953" i="2" s="1"/>
  <c r="M954" i="2" a="1"/>
  <c r="M954" i="2" s="1"/>
  <c r="M955" i="2" a="1"/>
  <c r="M955" i="2"/>
  <c r="M956" i="2" a="1"/>
  <c r="M956" i="2" s="1"/>
  <c r="M957" i="2" a="1"/>
  <c r="M957" i="2"/>
  <c r="M958" i="2" a="1"/>
  <c r="M958" i="2" s="1"/>
  <c r="M959" i="2" a="1"/>
  <c r="M959" i="2"/>
  <c r="M960" i="2" a="1"/>
  <c r="M960" i="2"/>
  <c r="M961" i="2" a="1"/>
  <c r="M961" i="2" s="1"/>
  <c r="M962" i="2" a="1"/>
  <c r="M962" i="2" s="1"/>
  <c r="M963" i="2" a="1"/>
  <c r="M963" i="2" s="1"/>
  <c r="M964" i="2" a="1"/>
  <c r="M964" i="2" s="1"/>
  <c r="M965" i="2" a="1"/>
  <c r="M965" i="2" s="1"/>
  <c r="M966" i="2" a="1"/>
  <c r="M966" i="2" s="1"/>
  <c r="M967" i="2" a="1"/>
  <c r="M967" i="2" s="1"/>
  <c r="M968" i="2" a="1"/>
  <c r="M968" i="2" s="1"/>
  <c r="M969" i="2" a="1"/>
  <c r="M969" i="2"/>
  <c r="M970" i="2" a="1"/>
  <c r="M970" i="2" s="1"/>
  <c r="M971" i="2" a="1"/>
  <c r="M971" i="2"/>
  <c r="M972" i="2" a="1"/>
  <c r="M972" i="2" s="1"/>
  <c r="M973" i="2" a="1"/>
  <c r="M973" i="2" s="1"/>
  <c r="M974" i="2" a="1"/>
  <c r="M974" i="2" s="1"/>
  <c r="M975" i="2" a="1"/>
  <c r="M975" i="2"/>
  <c r="M976" i="2" a="1"/>
  <c r="M976" i="2" s="1"/>
  <c r="M977" i="2" a="1"/>
  <c r="M977" i="2" s="1"/>
  <c r="M978" i="2" a="1"/>
  <c r="M978" i="2" s="1"/>
  <c r="M979" i="2" a="1"/>
  <c r="M979" i="2" s="1"/>
  <c r="M980" i="2" a="1"/>
  <c r="M980" i="2"/>
  <c r="M981" i="2" a="1"/>
  <c r="M981" i="2" s="1"/>
  <c r="M982" i="2" a="1"/>
  <c r="M982" i="2" s="1"/>
  <c r="M983" i="2" a="1"/>
  <c r="M983" i="2" s="1"/>
  <c r="M984" i="2" a="1"/>
  <c r="M984" i="2" s="1"/>
  <c r="M985" i="2" a="1"/>
  <c r="M985" i="2" s="1"/>
  <c r="M986" i="2" a="1"/>
  <c r="M986" i="2" s="1"/>
  <c r="M987" i="2" a="1"/>
  <c r="M987" i="2"/>
  <c r="M988" i="2" a="1"/>
  <c r="M988" i="2" s="1"/>
  <c r="M989" i="2" a="1"/>
  <c r="M989" i="2" s="1"/>
  <c r="M990" i="2" a="1"/>
  <c r="M990" i="2" s="1"/>
  <c r="M991" i="2" a="1"/>
  <c r="M991" i="2"/>
  <c r="M992" i="2" a="1"/>
  <c r="M992" i="2"/>
  <c r="M993" i="2" a="1"/>
  <c r="M993" i="2" s="1"/>
  <c r="M994" i="2" a="1"/>
  <c r="M994" i="2" s="1"/>
  <c r="M995" i="2" a="1"/>
  <c r="M995" i="2" s="1"/>
  <c r="M996" i="2" a="1"/>
  <c r="M996" i="2"/>
  <c r="M997" i="2" a="1"/>
  <c r="M997" i="2" s="1"/>
  <c r="M998" i="2" a="1"/>
  <c r="M998" i="2" s="1"/>
  <c r="M999" i="2" a="1"/>
  <c r="M999" i="2" s="1"/>
  <c r="M1000" i="2" a="1"/>
  <c r="M1000" i="2"/>
  <c r="M1001" i="2" a="1"/>
  <c r="M1001" i="2" s="1"/>
  <c r="M2" i="2" a="1"/>
  <c r="M2" i="2" s="1"/>
  <c r="M3" i="2" a="1"/>
  <c r="M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<sst xmlns="http://schemas.openxmlformats.org/spreadsheetml/2006/main" count="7822" uniqueCount="122">
  <si>
    <t>Category</t>
  </si>
  <si>
    <t>Measure</t>
  </si>
  <si>
    <t>Data_Value_Unit</t>
  </si>
  <si>
    <t>Data_Value_Type</t>
  </si>
  <si>
    <t>Data_Value</t>
  </si>
  <si>
    <t>TotalPopulation</t>
  </si>
  <si>
    <t>NBHD_Name</t>
  </si>
  <si>
    <t>ZIP_Code</t>
  </si>
  <si>
    <t>name</t>
  </si>
  <si>
    <t>grade</t>
  </si>
  <si>
    <t>grade to number</t>
  </si>
  <si>
    <t xml:space="preserve">Z-Score Disease </t>
  </si>
  <si>
    <t>Z-Score Redline</t>
  </si>
  <si>
    <t>Health Outcomes</t>
  </si>
  <si>
    <t>Diagnosed diabetes among adults</t>
  </si>
  <si>
    <t>%</t>
  </si>
  <si>
    <t>Crude prevalence</t>
  </si>
  <si>
    <t>Belcaro</t>
  </si>
  <si>
    <t>A</t>
  </si>
  <si>
    <t>Sloan Lake</t>
  </si>
  <si>
    <t>B</t>
  </si>
  <si>
    <t>C</t>
  </si>
  <si>
    <t>Villa Park</t>
  </si>
  <si>
    <t>D</t>
  </si>
  <si>
    <t>Lincoln Park</t>
  </si>
  <si>
    <t>Auraria</t>
  </si>
  <si>
    <t>West Colfax</t>
  </si>
  <si>
    <t>City Park</t>
  </si>
  <si>
    <t>Cole</t>
  </si>
  <si>
    <t>Whittier</t>
  </si>
  <si>
    <t>Five Points</t>
  </si>
  <si>
    <t>Cheesman Park</t>
  </si>
  <si>
    <t>Cherry Creek</t>
  </si>
  <si>
    <t>Congress Park</t>
  </si>
  <si>
    <t>South Park Hill</t>
  </si>
  <si>
    <t>North Park Hill</t>
  </si>
  <si>
    <t>Washington Park</t>
  </si>
  <si>
    <t>Country Club</t>
  </si>
  <si>
    <t>Overland</t>
  </si>
  <si>
    <t>Cory - Merrill</t>
  </si>
  <si>
    <t>University</t>
  </si>
  <si>
    <t>Platt Park</t>
  </si>
  <si>
    <t>Wellshire</t>
  </si>
  <si>
    <t>Jefferson Park</t>
  </si>
  <si>
    <t>Sunnyside</t>
  </si>
  <si>
    <t>Chaffee Park</t>
  </si>
  <si>
    <t>Mean</t>
  </si>
  <si>
    <t>SD</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</si>
  <si>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</si>
  <si>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</si>
  <si>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</si>
  <si>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</si>
  <si>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</si>
  <si>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</si>
  <si>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</si>
  <si>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</si>
  <si>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</si>
  <si>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</si>
  <si>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</si>
  <si>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</si>
  <si>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</si>
  <si>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</si>
  <si>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</si>
  <si>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</si>
  <si>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</si>
  <si>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</si>
  <si>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</si>
  <si>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</si>
  <si>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</si>
  <si>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</si>
  <si>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</si>
  <si>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</si>
  <si>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Year</t>
  </si>
  <si>
    <t>LocationName</t>
  </si>
  <si>
    <t>Prevention</t>
  </si>
  <si>
    <t>Current lack of health insurance among adults aged 18-64 years</t>
  </si>
  <si>
    <t>Arthritis among adults</t>
  </si>
  <si>
    <t>Health Risk Behaviors</t>
  </si>
  <si>
    <t>Binge drinking among adults</t>
  </si>
  <si>
    <t>High blood pressure among adults</t>
  </si>
  <si>
    <t>Taking medicine to control high blood pressure among adults with high blood pressure</t>
  </si>
  <si>
    <t>Cancer (non-skin) or melanoma among adults</t>
  </si>
  <si>
    <t>Current asthma among adults</t>
  </si>
  <si>
    <t>Coronary heart disease among adults</t>
  </si>
  <si>
    <t>Visits to doctor for routine checkup within the past year among adults</t>
  </si>
  <si>
    <t>Cholesterol screening among adults</t>
  </si>
  <si>
    <t>Disability</t>
  </si>
  <si>
    <t>Cognitive disability among adults</t>
  </si>
  <si>
    <t>Colorectal cancer screening among adults aged 45‚Äì75 years</t>
  </si>
  <si>
    <t>Chronic obstructive pulmonary disease among adults</t>
  </si>
  <si>
    <t>Current cigarette smoking among adults</t>
  </si>
  <si>
    <t>Visited dentist or dental clinic in the past year among adults</t>
  </si>
  <si>
    <t>Depression among adults</t>
  </si>
  <si>
    <t>Any disability among adults</t>
  </si>
  <si>
    <t>Health Status</t>
  </si>
  <si>
    <t>Fair or poor self-rated health status among adults</t>
  </si>
  <si>
    <t>Hearing disability among adults</t>
  </si>
  <si>
    <t>High cholesterol among adults who have ever been screened</t>
  </si>
  <si>
    <t>Independent living disability among adults</t>
  </si>
  <si>
    <t>No leisure-time physical activity among adults</t>
  </si>
  <si>
    <t>Mammography use among women aged 50-74 years</t>
  </si>
  <si>
    <t>Frequent mental distress among adults</t>
  </si>
  <si>
    <t>Mobility disability among adults</t>
  </si>
  <si>
    <t>Obesity among adults</t>
  </si>
  <si>
    <t>Frequent physical distress among adults</t>
  </si>
  <si>
    <t>Self-care disability among adults</t>
  </si>
  <si>
    <t>Short sleep duration among adults</t>
  </si>
  <si>
    <t>Stroke among adults</t>
  </si>
  <si>
    <t>All teeth lost among adults aged &gt;=65 years</t>
  </si>
  <si>
    <t>Vision disability among adults</t>
  </si>
  <si>
    <t>Berkeley</t>
  </si>
  <si>
    <t>RedLine_Score</t>
  </si>
  <si>
    <t xml:space="preserve">Cancer </t>
  </si>
  <si>
    <t xml:space="preserve">Diabetes </t>
  </si>
  <si>
    <t>Stroke</t>
  </si>
  <si>
    <t xml:space="preserve">Visiting Doctor </t>
  </si>
  <si>
    <t>Grand Total</t>
  </si>
  <si>
    <t>Measures</t>
  </si>
  <si>
    <t>Value</t>
  </si>
  <si>
    <t>Grade</t>
  </si>
  <si>
    <t>Disease Z Score</t>
  </si>
  <si>
    <t>Redline Z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</si>
</sst>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3" fontId="0" fillId="0" borderId="0" xfId="0" applyNumberFormat="1"/>
    <xf numFmtId="11" fontId="0" fillId="0" borderId="0" xfId="0" applyNumberFormat="1"/>
    <xf numFmtId="49" fontId="0" fillId="0" borderId="0" xfId="0" applyNumberFormat="1"/>
    <xf numFmtId="0" fontId="13" fillId="33" borderId="10" xfId="0" applyFont="1" applyFill="1" applyBorder="1"/>
    <xf numFmtId="0" fontId="13" fillId="33" borderId="11" xfId="0" applyFont="1" applyFill="1" applyBorder="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0" fontId="13" fillId="33" borderId="12" xfId="0" applyFont="1" applyFill="1" applyBorder="1"/>
    <xf numFmtId="0" fontId="0" fillId="0" borderId="0" xfId="0" pivotButton="1"/>
    <xf numFmtId="0" fontId="0" fillId="0" borderId="0" xfId="0" applyAlignment="1">
      <alignment horizontal="left"/>
    </xf>
    <xf numFmtId="0" fontId="0" fillId="0" borderId="0" xfId="0" applyNumberFormat="1"/>
    <xf numFmtId="3" fontId="0" fillId="34" borderId="11" xfId="0" applyNumberFormat="1" applyFont="1" applyFill="1" applyBorder="1"/>
    <xf numFmtId="49" fontId="0" fillId="34" borderId="11" xfId="0" applyNumberFormat="1" applyFont="1" applyFill="1" applyBorder="1"/>
    <xf numFmtId="3" fontId="0" fillId="0" borderId="11" xfId="0" applyNumberFormat="1" applyFont="1" applyBorder="1"/>
    <xf numFmtId="49" fontId="0" fillId="0" borderId="11" xfId="0" applyNumberFormat="1" applyFont="1" applyBorder="1"/>
    <xf numFmtId="0" fontId="0" fillId="34" borderId="0" xfId="0" applyFont="1" applyFill="1" applyBorder="1"/>
    <xf numFmtId="0" fontId="0" fillId="0" borderId="0" xfId="0" applyFont="1" applyFill="1" applyBorder="1"/>
    <xf numFmtId="0" fontId="13" fillId="33" borderId="0" xfId="0" applyFont="1" applyFill="1" applyBorder="1"/>
    <xf numFmtId="0" fontId="0" fillId="0" borderId="0" xfId="0" applyFill="1" applyBorder="1" applyAlignment="1"/>
    <xf numFmtId="0" fontId="0" fillId="0" borderId="13" xfId="0" applyFill="1" applyBorder="1" applyAlignment="1"/>
    <xf numFmtId="0" fontId="18" fillId="0" borderId="14" xfId="0" applyFont="1" applyFill="1" applyBorder="1" applyAlignment="1">
      <alignment horizontal="center"/>
    </xf>
    <xf numFmtId="0" fontId="18" fillId="0" borderId="14" xfId="0" applyFont="1" applyFill="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30" formatCode="@"/>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[CDC_Redline.xlsx]Pivot Table + Figure!PivotTable1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 Figure'!$B$3:$B$4</c:f>
              <c:strCache>
                <c:ptCount val="1"/>
                <c:pt idx="0">
                  <c:v>All teeth lost among adults aged &gt;=65 years</c:v>
                </c:pt>
              </c:strCache>
            </c:strRef>
          </c:tx>
          <c:spPr>
            <a:solidFill>
              <a:schemeClr val="accent1"/>
            </a:solidFill>
            <a:ln>
              <a:noFill/>
            </a:ln>
            <a:effectLst/>
          </c:spPr>
          <c:invertIfNegative val="0"/>
          <c:cat>
            <c:strRef>
              <c:f>'Pivot Table + Figure'!$A$5:$A$9</c:f>
              <c:strCache>
                <c:ptCount val="4"/>
                <c:pt idx="0">
                  <c:v>A</c:v>
                </c:pt>
                <c:pt idx="1">
                  <c:v>B</c:v>
                </c:pt>
                <c:pt idx="2">
                  <c:v>C</c:v>
                </c:pt>
                <c:pt idx="3">
                  <c:v>D</c:v>
                </c:pt>
              </c:strCache>
            </c:strRef>
          </c:cat>
          <c:val>
            <c:numRef>
              <c:f>'Pivot Table + Figure'!$B$5:$B$9</c:f>
              <c:numCache>
                <c:formatCode>General</c:formatCode>
                <c:ptCount val="4"/>
                <c:pt idx="0">
                  <c:v>5.416666666666667</c:v>
                </c:pt>
                <c:pt idx="1">
                  <c:v>11.733333333333334</c:v>
                </c:pt>
                <c:pt idx="2">
                  <c:v>8.2100000000000009</c:v>
                </c:pt>
                <c:pt idx="3">
                  <c:v>10.072727272727272</c:v>
                </c:pt>
              </c:numCache>
            </c:numRef>
          </c:val>
          <c:extLst>
            <c:ext xmlns:c16="http://schemas.microsoft.com/office/drawing/2014/chart" uri="{C3380CC4-5D6E-409C-BE32-E72D297353CC}">
              <c16:uniqueId val="{00000000-290A-BC4B-AB0C-A2596A4F96C3}"/>
            </c:ext>
          </c:extLst>
        </c:ser>
        <c:ser>
          <c:idx val="1"/>
          <c:order val="1"/>
          <c:tx>
            <c:strRef>
              <c:f>'Pivot Table + Figure'!$C$3:$C$4</c:f>
              <c:strCache>
                <c:ptCount val="1"/>
                <c:pt idx="0">
                  <c:v>Any disability among adults</c:v>
                </c:pt>
              </c:strCache>
            </c:strRef>
          </c:tx>
          <c:spPr>
            <a:solidFill>
              <a:schemeClr val="accent2"/>
            </a:solidFill>
            <a:ln>
              <a:noFill/>
            </a:ln>
            <a:effectLst/>
          </c:spPr>
          <c:invertIfNegative val="0"/>
          <c:cat>
            <c:strRef>
              <c:f>'Pivot Table + Figure'!$A$5:$A$9</c:f>
              <c:strCache>
                <c:ptCount val="4"/>
                <c:pt idx="0">
                  <c:v>A</c:v>
                </c:pt>
                <c:pt idx="1">
                  <c:v>B</c:v>
                </c:pt>
                <c:pt idx="2">
                  <c:v>C</c:v>
                </c:pt>
                <c:pt idx="3">
                  <c:v>D</c:v>
                </c:pt>
              </c:strCache>
            </c:strRef>
          </c:cat>
          <c:val>
            <c:numRef>
              <c:f>'Pivot Table + Figure'!$C$5:$C$9</c:f>
              <c:numCache>
                <c:formatCode>General</c:formatCode>
                <c:ptCount val="4"/>
                <c:pt idx="0">
                  <c:v>20.516666666666666</c:v>
                </c:pt>
                <c:pt idx="1">
                  <c:v>26.133333333333336</c:v>
                </c:pt>
                <c:pt idx="2">
                  <c:v>22.79</c:v>
                </c:pt>
                <c:pt idx="3">
                  <c:v>24.072727272727274</c:v>
                </c:pt>
              </c:numCache>
            </c:numRef>
          </c:val>
          <c:extLst>
            <c:ext xmlns:c16="http://schemas.microsoft.com/office/drawing/2014/chart" uri="{C3380CC4-5D6E-409C-BE32-E72D297353CC}">
              <c16:uniqueId val="{00000001-290A-BC4B-AB0C-A2596A4F96C3}"/>
            </c:ext>
          </c:extLst>
        </c:ser>
        <c:ser>
          <c:idx val="2"/>
          <c:order val="2"/>
          <c:tx>
            <c:strRef>
              <c:f>'Pivot Table + Figure'!$D$3:$D$4</c:f>
              <c:strCache>
                <c:ptCount val="1"/>
                <c:pt idx="0">
                  <c:v>Arthritis among adults</c:v>
                </c:pt>
              </c:strCache>
            </c:strRef>
          </c:tx>
          <c:spPr>
            <a:solidFill>
              <a:schemeClr val="accent3"/>
            </a:solidFill>
            <a:ln>
              <a:noFill/>
            </a:ln>
            <a:effectLst/>
          </c:spPr>
          <c:invertIfNegative val="0"/>
          <c:cat>
            <c:strRef>
              <c:f>'Pivot Table + Figure'!$A$5:$A$9</c:f>
              <c:strCache>
                <c:ptCount val="4"/>
                <c:pt idx="0">
                  <c:v>A</c:v>
                </c:pt>
                <c:pt idx="1">
                  <c:v>B</c:v>
                </c:pt>
                <c:pt idx="2">
                  <c:v>C</c:v>
                </c:pt>
                <c:pt idx="3">
                  <c:v>D</c:v>
                </c:pt>
              </c:strCache>
            </c:strRef>
          </c:cat>
          <c:val>
            <c:numRef>
              <c:f>'Pivot Table + Figure'!$D$5:$D$9</c:f>
              <c:numCache>
                <c:formatCode>General</c:formatCode>
                <c:ptCount val="4"/>
                <c:pt idx="0">
                  <c:v>17.783333333333335</c:v>
                </c:pt>
                <c:pt idx="1">
                  <c:v>19.225000000000001</c:v>
                </c:pt>
                <c:pt idx="2">
                  <c:v>16.941666666666666</c:v>
                </c:pt>
                <c:pt idx="3">
                  <c:v>16.036363636363635</c:v>
                </c:pt>
              </c:numCache>
            </c:numRef>
          </c:val>
          <c:extLst>
            <c:ext xmlns:c16="http://schemas.microsoft.com/office/drawing/2014/chart" uri="{C3380CC4-5D6E-409C-BE32-E72D297353CC}">
              <c16:uniqueId val="{00000002-290A-BC4B-AB0C-A2596A4F96C3}"/>
            </c:ext>
          </c:extLst>
        </c:ser>
        <c:ser>
          <c:idx val="3"/>
          <c:order val="3"/>
          <c:tx>
            <c:strRef>
              <c:f>'Pivot Table + Figure'!$E$3:$E$4</c:f>
              <c:strCache>
                <c:ptCount val="1"/>
                <c:pt idx="0">
                  <c:v>Binge drinking among adults</c:v>
                </c:pt>
              </c:strCache>
            </c:strRef>
          </c:tx>
          <c:spPr>
            <a:solidFill>
              <a:schemeClr val="accent4"/>
            </a:solidFill>
            <a:ln>
              <a:noFill/>
            </a:ln>
            <a:effectLst/>
          </c:spPr>
          <c:invertIfNegative val="0"/>
          <c:cat>
            <c:strRef>
              <c:f>'Pivot Table + Figure'!$A$5:$A$9</c:f>
              <c:strCache>
                <c:ptCount val="4"/>
                <c:pt idx="0">
                  <c:v>A</c:v>
                </c:pt>
                <c:pt idx="1">
                  <c:v>B</c:v>
                </c:pt>
                <c:pt idx="2">
                  <c:v>C</c:v>
                </c:pt>
                <c:pt idx="3">
                  <c:v>D</c:v>
                </c:pt>
              </c:strCache>
            </c:strRef>
          </c:cat>
          <c:val>
            <c:numRef>
              <c:f>'Pivot Table + Figure'!$E$5:$E$9</c:f>
              <c:numCache>
                <c:formatCode>General</c:formatCode>
                <c:ptCount val="4"/>
                <c:pt idx="0">
                  <c:v>27.083333333333332</c:v>
                </c:pt>
                <c:pt idx="1">
                  <c:v>24.824999999999999</c:v>
                </c:pt>
                <c:pt idx="2">
                  <c:v>27.275000000000006</c:v>
                </c:pt>
                <c:pt idx="3">
                  <c:v>27.518181818181823</c:v>
                </c:pt>
              </c:numCache>
            </c:numRef>
          </c:val>
          <c:extLst>
            <c:ext xmlns:c16="http://schemas.microsoft.com/office/drawing/2014/chart" uri="{C3380CC4-5D6E-409C-BE32-E72D297353CC}">
              <c16:uniqueId val="{00000003-290A-BC4B-AB0C-A2596A4F96C3}"/>
            </c:ext>
          </c:extLst>
        </c:ser>
        <c:ser>
          <c:idx val="4"/>
          <c:order val="4"/>
          <c:tx>
            <c:strRef>
              <c:f>'Pivot Table + Figure'!$F$3:$F$4</c:f>
              <c:strCache>
                <c:ptCount val="1"/>
                <c:pt idx="0">
                  <c:v>Cancer (non-skin) or melanoma among adults</c:v>
                </c:pt>
              </c:strCache>
            </c:strRef>
          </c:tx>
          <c:spPr>
            <a:solidFill>
              <a:schemeClr val="accent5"/>
            </a:solidFill>
            <a:ln>
              <a:noFill/>
            </a:ln>
            <a:effectLst/>
          </c:spPr>
          <c:invertIfNegative val="0"/>
          <c:cat>
            <c:strRef>
              <c:f>'Pivot Table + Figure'!$A$5:$A$9</c:f>
              <c:strCache>
                <c:ptCount val="4"/>
                <c:pt idx="0">
                  <c:v>A</c:v>
                </c:pt>
                <c:pt idx="1">
                  <c:v>B</c:v>
                </c:pt>
                <c:pt idx="2">
                  <c:v>C</c:v>
                </c:pt>
                <c:pt idx="3">
                  <c:v>D</c:v>
                </c:pt>
              </c:strCache>
            </c:strRef>
          </c:cat>
          <c:val>
            <c:numRef>
              <c:f>'Pivot Table + Figure'!$F$5:$F$9</c:f>
              <c:numCache>
                <c:formatCode>General</c:formatCode>
                <c:ptCount val="4"/>
                <c:pt idx="0">
                  <c:v>7.1333333333333329</c:v>
                </c:pt>
                <c:pt idx="1">
                  <c:v>5.8</c:v>
                </c:pt>
                <c:pt idx="2">
                  <c:v>5.84</c:v>
                </c:pt>
                <c:pt idx="3">
                  <c:v>5.0363636363636362</c:v>
                </c:pt>
              </c:numCache>
            </c:numRef>
          </c:val>
          <c:extLst>
            <c:ext xmlns:c16="http://schemas.microsoft.com/office/drawing/2014/chart" uri="{C3380CC4-5D6E-409C-BE32-E72D297353CC}">
              <c16:uniqueId val="{00000004-290A-BC4B-AB0C-A2596A4F96C3}"/>
            </c:ext>
          </c:extLst>
        </c:ser>
        <c:ser>
          <c:idx val="5"/>
          <c:order val="5"/>
          <c:tx>
            <c:strRef>
              <c:f>'Pivot Table + Figure'!$G$3:$G$4</c:f>
              <c:strCache>
                <c:ptCount val="1"/>
                <c:pt idx="0">
                  <c:v>Cholesterol screening among adults</c:v>
                </c:pt>
              </c:strCache>
            </c:strRef>
          </c:tx>
          <c:spPr>
            <a:solidFill>
              <a:schemeClr val="accent6"/>
            </a:solidFill>
            <a:ln>
              <a:noFill/>
            </a:ln>
            <a:effectLst/>
          </c:spPr>
          <c:invertIfNegative val="0"/>
          <c:cat>
            <c:strRef>
              <c:f>'Pivot Table + Figure'!$A$5:$A$9</c:f>
              <c:strCache>
                <c:ptCount val="4"/>
                <c:pt idx="0">
                  <c:v>A</c:v>
                </c:pt>
                <c:pt idx="1">
                  <c:v>B</c:v>
                </c:pt>
                <c:pt idx="2">
                  <c:v>C</c:v>
                </c:pt>
                <c:pt idx="3">
                  <c:v>D</c:v>
                </c:pt>
              </c:strCache>
            </c:strRef>
          </c:cat>
          <c:val>
            <c:numRef>
              <c:f>'Pivot Table + Figure'!$G$5:$G$9</c:f>
              <c:numCache>
                <c:formatCode>General</c:formatCode>
                <c:ptCount val="4"/>
                <c:pt idx="0">
                  <c:v>85.600000000000009</c:v>
                </c:pt>
                <c:pt idx="1">
                  <c:v>84.366666666666674</c:v>
                </c:pt>
                <c:pt idx="2">
                  <c:v>83.18</c:v>
                </c:pt>
                <c:pt idx="3">
                  <c:v>82.409090909090907</c:v>
                </c:pt>
              </c:numCache>
            </c:numRef>
          </c:val>
          <c:extLst>
            <c:ext xmlns:c16="http://schemas.microsoft.com/office/drawing/2014/chart" uri="{C3380CC4-5D6E-409C-BE32-E72D297353CC}">
              <c16:uniqueId val="{00000005-290A-BC4B-AB0C-A2596A4F96C3}"/>
            </c:ext>
          </c:extLst>
        </c:ser>
        <c:ser>
          <c:idx val="6"/>
          <c:order val="6"/>
          <c:tx>
            <c:strRef>
              <c:f>'Pivot Table + Figure'!$H$3:$H$4</c:f>
              <c:strCache>
                <c:ptCount val="1"/>
                <c:pt idx="0">
                  <c:v>Chronic obstructive pulmonary disease among adults</c:v>
                </c:pt>
              </c:strCache>
            </c:strRef>
          </c:tx>
          <c:spPr>
            <a:solidFill>
              <a:schemeClr val="accent1">
                <a:lumMod val="6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Figure'!$H$5:$H$9</c:f>
              <c:numCache>
                <c:formatCode>General</c:formatCode>
                <c:ptCount val="4"/>
                <c:pt idx="0">
                  <c:v>3.3333333333333339</c:v>
                </c:pt>
                <c:pt idx="1">
                  <c:v>4.4000000000000004</c:v>
                </c:pt>
                <c:pt idx="2">
                  <c:v>3.5900000000000007</c:v>
                </c:pt>
                <c:pt idx="3">
                  <c:v>3.7363636363636359</c:v>
                </c:pt>
              </c:numCache>
            </c:numRef>
          </c:val>
          <c:extLst>
            <c:ext xmlns:c16="http://schemas.microsoft.com/office/drawing/2014/chart" uri="{C3380CC4-5D6E-409C-BE32-E72D297353CC}">
              <c16:uniqueId val="{00000006-290A-BC4B-AB0C-A2596A4F96C3}"/>
            </c:ext>
          </c:extLst>
        </c:ser>
        <c:ser>
          <c:idx val="7"/>
          <c:order val="7"/>
          <c:tx>
            <c:strRef>
              <c:f>'Pivot Table + Figure'!$I$3:$I$4</c:f>
              <c:strCache>
                <c:ptCount val="1"/>
                <c:pt idx="0">
                  <c:v>Cognitive disability among adults</c:v>
                </c:pt>
              </c:strCache>
            </c:strRef>
          </c:tx>
          <c:spPr>
            <a:solidFill>
              <a:schemeClr val="accent2">
                <a:lumMod val="6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Figure'!$I$5:$I$9</c:f>
              <c:numCache>
                <c:formatCode>General</c:formatCode>
                <c:ptCount val="4"/>
                <c:pt idx="0">
                  <c:v>11.066666666666665</c:v>
                </c:pt>
                <c:pt idx="1">
                  <c:v>13.866666666666667</c:v>
                </c:pt>
                <c:pt idx="2">
                  <c:v>12.98</c:v>
                </c:pt>
                <c:pt idx="3">
                  <c:v>13.872727272727273</c:v>
                </c:pt>
              </c:numCache>
            </c:numRef>
          </c:val>
          <c:extLst>
            <c:ext xmlns:c16="http://schemas.microsoft.com/office/drawing/2014/chart" uri="{C3380CC4-5D6E-409C-BE32-E72D297353CC}">
              <c16:uniqueId val="{00000007-290A-BC4B-AB0C-A2596A4F96C3}"/>
            </c:ext>
          </c:extLst>
        </c:ser>
        <c:ser>
          <c:idx val="8"/>
          <c:order val="8"/>
          <c:tx>
            <c:strRef>
              <c:f>'Pivot Table + Figure'!$J$3:$J$4</c:f>
              <c:strCache>
                <c:ptCount val="1"/>
                <c:pt idx="0">
                  <c:v>Colorectal cancer screening among adults aged 45‚Äì75 years</c:v>
                </c:pt>
              </c:strCache>
            </c:strRef>
          </c:tx>
          <c:spPr>
            <a:solidFill>
              <a:schemeClr val="accent3">
                <a:lumMod val="6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Figure'!$J$5:$J$9</c:f>
              <c:numCache>
                <c:formatCode>General</c:formatCode>
                <c:ptCount val="4"/>
                <c:pt idx="0">
                  <c:v>68.416666666666671</c:v>
                </c:pt>
                <c:pt idx="1">
                  <c:v>62.933333333333337</c:v>
                </c:pt>
                <c:pt idx="2">
                  <c:v>64.03</c:v>
                </c:pt>
                <c:pt idx="3">
                  <c:v>60.909090909090899</c:v>
                </c:pt>
              </c:numCache>
            </c:numRef>
          </c:val>
          <c:extLst>
            <c:ext xmlns:c16="http://schemas.microsoft.com/office/drawing/2014/chart" uri="{C3380CC4-5D6E-409C-BE32-E72D297353CC}">
              <c16:uniqueId val="{00000008-290A-BC4B-AB0C-A2596A4F96C3}"/>
            </c:ext>
          </c:extLst>
        </c:ser>
        <c:ser>
          <c:idx val="9"/>
          <c:order val="9"/>
          <c:tx>
            <c:strRef>
              <c:f>'Pivot Table + Figure'!$K$3:$K$4</c:f>
              <c:strCache>
                <c:ptCount val="1"/>
                <c:pt idx="0">
                  <c:v>Coronary heart disease among adults</c:v>
                </c:pt>
              </c:strCache>
            </c:strRef>
          </c:tx>
          <c:spPr>
            <a:solidFill>
              <a:schemeClr val="accent4">
                <a:lumMod val="6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Figure'!$K$5:$K$9</c:f>
              <c:numCache>
                <c:formatCode>General</c:formatCode>
                <c:ptCount val="4"/>
                <c:pt idx="0">
                  <c:v>3.5999999999999996</c:v>
                </c:pt>
                <c:pt idx="1">
                  <c:v>4.333333333333333</c:v>
                </c:pt>
                <c:pt idx="2">
                  <c:v>3.5499999999999994</c:v>
                </c:pt>
                <c:pt idx="3">
                  <c:v>3.545454545454545</c:v>
                </c:pt>
              </c:numCache>
            </c:numRef>
          </c:val>
          <c:extLst>
            <c:ext xmlns:c16="http://schemas.microsoft.com/office/drawing/2014/chart" uri="{C3380CC4-5D6E-409C-BE32-E72D297353CC}">
              <c16:uniqueId val="{00000009-290A-BC4B-AB0C-A2596A4F96C3}"/>
            </c:ext>
          </c:extLst>
        </c:ser>
        <c:ser>
          <c:idx val="10"/>
          <c:order val="10"/>
          <c:tx>
            <c:strRef>
              <c:f>'Pivot Table + Figure'!$L$3:$L$4</c:f>
              <c:strCache>
                <c:ptCount val="1"/>
                <c:pt idx="0">
                  <c:v>Current asthma among adults</c:v>
                </c:pt>
              </c:strCache>
            </c:strRef>
          </c:tx>
          <c:spPr>
            <a:solidFill>
              <a:schemeClr val="accent5">
                <a:lumMod val="6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Figure'!$L$5:$L$9</c:f>
              <c:numCache>
                <c:formatCode>General</c:formatCode>
                <c:ptCount val="4"/>
                <c:pt idx="0">
                  <c:v>10.199999999999999</c:v>
                </c:pt>
                <c:pt idx="1">
                  <c:v>10.799999999999999</c:v>
                </c:pt>
                <c:pt idx="2">
                  <c:v>10.379999999999999</c:v>
                </c:pt>
                <c:pt idx="3">
                  <c:v>10.409090909090908</c:v>
                </c:pt>
              </c:numCache>
            </c:numRef>
          </c:val>
          <c:extLst>
            <c:ext xmlns:c16="http://schemas.microsoft.com/office/drawing/2014/chart" uri="{C3380CC4-5D6E-409C-BE32-E72D297353CC}">
              <c16:uniqueId val="{0000000A-290A-BC4B-AB0C-A2596A4F96C3}"/>
            </c:ext>
          </c:extLst>
        </c:ser>
        <c:ser>
          <c:idx val="11"/>
          <c:order val="11"/>
          <c:tx>
            <c:strRef>
              <c:f>'Pivot Table + Figure'!$M$3:$M$4</c:f>
              <c:strCache>
                <c:ptCount val="1"/>
                <c:pt idx="0">
                  <c:v>Current cigarette smoking among adults</c:v>
                </c:pt>
              </c:strCache>
            </c:strRef>
          </c:tx>
          <c:spPr>
            <a:solidFill>
              <a:schemeClr val="accent6">
                <a:lumMod val="6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Figure'!$M$5:$M$9</c:f>
              <c:numCache>
                <c:formatCode>General</c:formatCode>
                <c:ptCount val="4"/>
                <c:pt idx="0">
                  <c:v>7.4000000000000012</c:v>
                </c:pt>
                <c:pt idx="1">
                  <c:v>10.799999999999999</c:v>
                </c:pt>
                <c:pt idx="2">
                  <c:v>8.9999999999999982</c:v>
                </c:pt>
                <c:pt idx="3">
                  <c:v>10.145454545454545</c:v>
                </c:pt>
              </c:numCache>
            </c:numRef>
          </c:val>
          <c:extLst>
            <c:ext xmlns:c16="http://schemas.microsoft.com/office/drawing/2014/chart" uri="{C3380CC4-5D6E-409C-BE32-E72D297353CC}">
              <c16:uniqueId val="{0000000B-290A-BC4B-AB0C-A2596A4F96C3}"/>
            </c:ext>
          </c:extLst>
        </c:ser>
        <c:ser>
          <c:idx val="12"/>
          <c:order val="12"/>
          <c:tx>
            <c:strRef>
              <c:f>'Pivot Table + Figure'!$N$3:$N$4</c:f>
              <c:strCache>
                <c:ptCount val="1"/>
                <c:pt idx="0">
                  <c:v>Current lack of health insurance among adults aged 18-64 years</c:v>
                </c:pt>
              </c:strCache>
            </c:strRef>
          </c:tx>
          <c:spPr>
            <a:solidFill>
              <a:schemeClr val="accent1">
                <a:lumMod val="80000"/>
                <a:lumOff val="2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Figure'!$N$5:$N$9</c:f>
              <c:numCache>
                <c:formatCode>General</c:formatCode>
                <c:ptCount val="4"/>
                <c:pt idx="0">
                  <c:v>7.3000000000000007</c:v>
                </c:pt>
                <c:pt idx="1">
                  <c:v>11.875</c:v>
                </c:pt>
                <c:pt idx="2">
                  <c:v>9.8500000000000014</c:v>
                </c:pt>
                <c:pt idx="3">
                  <c:v>12.018181818181818</c:v>
                </c:pt>
              </c:numCache>
            </c:numRef>
          </c:val>
          <c:extLst>
            <c:ext xmlns:c16="http://schemas.microsoft.com/office/drawing/2014/chart" uri="{C3380CC4-5D6E-409C-BE32-E72D297353CC}">
              <c16:uniqueId val="{0000000C-290A-BC4B-AB0C-A2596A4F96C3}"/>
            </c:ext>
          </c:extLst>
        </c:ser>
        <c:ser>
          <c:idx val="13"/>
          <c:order val="13"/>
          <c:tx>
            <c:strRef>
              <c:f>'Pivot Table + Figure'!$O$3:$O$4</c:f>
              <c:strCache>
                <c:ptCount val="1"/>
                <c:pt idx="0">
                  <c:v>Depression among adults</c:v>
                </c:pt>
              </c:strCache>
            </c:strRef>
          </c:tx>
          <c:spPr>
            <a:solidFill>
              <a:schemeClr val="accent2">
                <a:lumMod val="80000"/>
                <a:lumOff val="2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Figure'!$O$5:$O$9</c:f>
              <c:numCache>
                <c:formatCode>General</c:formatCode>
                <c:ptCount val="4"/>
                <c:pt idx="0">
                  <c:v>23.666666666666668</c:v>
                </c:pt>
                <c:pt idx="1">
                  <c:v>22.2</c:v>
                </c:pt>
                <c:pt idx="2">
                  <c:v>24.030000000000008</c:v>
                </c:pt>
                <c:pt idx="3">
                  <c:v>23.836363636363636</c:v>
                </c:pt>
              </c:numCache>
            </c:numRef>
          </c:val>
          <c:extLst>
            <c:ext xmlns:c16="http://schemas.microsoft.com/office/drawing/2014/chart" uri="{C3380CC4-5D6E-409C-BE32-E72D297353CC}">
              <c16:uniqueId val="{0000000D-290A-BC4B-AB0C-A2596A4F96C3}"/>
            </c:ext>
          </c:extLst>
        </c:ser>
        <c:ser>
          <c:idx val="14"/>
          <c:order val="14"/>
          <c:tx>
            <c:strRef>
              <c:f>'Pivot Table + Figure'!$P$3:$P$4</c:f>
              <c:strCache>
                <c:ptCount val="1"/>
                <c:pt idx="0">
                  <c:v>Diagnosed diabetes among adults</c:v>
                </c:pt>
              </c:strCache>
            </c:strRef>
          </c:tx>
          <c:spPr>
            <a:solidFill>
              <a:schemeClr val="accent3">
                <a:lumMod val="80000"/>
                <a:lumOff val="2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Figure'!$P$5:$P$9</c:f>
              <c:numCache>
                <c:formatCode>General</c:formatCode>
                <c:ptCount val="4"/>
                <c:pt idx="0">
                  <c:v>5.3166666666666664</c:v>
                </c:pt>
                <c:pt idx="1">
                  <c:v>8.2666666666666657</c:v>
                </c:pt>
                <c:pt idx="2">
                  <c:v>5.83</c:v>
                </c:pt>
                <c:pt idx="3">
                  <c:v>6.4272727272727277</c:v>
                </c:pt>
              </c:numCache>
            </c:numRef>
          </c:val>
          <c:extLst>
            <c:ext xmlns:c16="http://schemas.microsoft.com/office/drawing/2014/chart" uri="{C3380CC4-5D6E-409C-BE32-E72D297353CC}">
              <c16:uniqueId val="{0000000E-290A-BC4B-AB0C-A2596A4F96C3}"/>
            </c:ext>
          </c:extLst>
        </c:ser>
        <c:ser>
          <c:idx val="15"/>
          <c:order val="15"/>
          <c:tx>
            <c:strRef>
              <c:f>'Pivot Table + Figure'!$Q$3:$Q$4</c:f>
              <c:strCache>
                <c:ptCount val="1"/>
                <c:pt idx="0">
                  <c:v>Fair or poor self-rated health status among adults</c:v>
                </c:pt>
              </c:strCache>
            </c:strRef>
          </c:tx>
          <c:spPr>
            <a:solidFill>
              <a:schemeClr val="accent4">
                <a:lumMod val="80000"/>
                <a:lumOff val="2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Figure'!$Q$5:$Q$9</c:f>
              <c:numCache>
                <c:formatCode>General</c:formatCode>
                <c:ptCount val="4"/>
                <c:pt idx="0">
                  <c:v>9.9333333333333336</c:v>
                </c:pt>
                <c:pt idx="1">
                  <c:v>15.633333333333333</c:v>
                </c:pt>
                <c:pt idx="2">
                  <c:v>12.17</c:v>
                </c:pt>
                <c:pt idx="3">
                  <c:v>13.845454545454546</c:v>
                </c:pt>
              </c:numCache>
            </c:numRef>
          </c:val>
          <c:extLst>
            <c:ext xmlns:c16="http://schemas.microsoft.com/office/drawing/2014/chart" uri="{C3380CC4-5D6E-409C-BE32-E72D297353CC}">
              <c16:uniqueId val="{0000000F-290A-BC4B-AB0C-A2596A4F96C3}"/>
            </c:ext>
          </c:extLst>
        </c:ser>
        <c:ser>
          <c:idx val="16"/>
          <c:order val="16"/>
          <c:tx>
            <c:strRef>
              <c:f>'Pivot Table + Figure'!$R$3:$R$4</c:f>
              <c:strCache>
                <c:ptCount val="1"/>
                <c:pt idx="0">
                  <c:v>Frequent mental distress among adults</c:v>
                </c:pt>
              </c:strCache>
            </c:strRef>
          </c:tx>
          <c:spPr>
            <a:solidFill>
              <a:schemeClr val="accent5">
                <a:lumMod val="80000"/>
                <a:lumOff val="2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Figure'!$R$5:$R$9</c:f>
              <c:numCache>
                <c:formatCode>General</c:formatCode>
                <c:ptCount val="4"/>
                <c:pt idx="0">
                  <c:v>14.166666666666666</c:v>
                </c:pt>
                <c:pt idx="1">
                  <c:v>15.366666666666667</c:v>
                </c:pt>
                <c:pt idx="2">
                  <c:v>15.41</c:v>
                </c:pt>
                <c:pt idx="3">
                  <c:v>15.881818181818181</c:v>
                </c:pt>
              </c:numCache>
            </c:numRef>
          </c:val>
          <c:extLst>
            <c:ext xmlns:c16="http://schemas.microsoft.com/office/drawing/2014/chart" uri="{C3380CC4-5D6E-409C-BE32-E72D297353CC}">
              <c16:uniqueId val="{00000010-290A-BC4B-AB0C-A2596A4F96C3}"/>
            </c:ext>
          </c:extLst>
        </c:ser>
        <c:ser>
          <c:idx val="17"/>
          <c:order val="17"/>
          <c:tx>
            <c:strRef>
              <c:f>'Pivot Table + Figure'!$S$3:$S$4</c:f>
              <c:strCache>
                <c:ptCount val="1"/>
                <c:pt idx="0">
                  <c:v>Frequent physical distress among adults</c:v>
                </c:pt>
              </c:strCache>
            </c:strRef>
          </c:tx>
          <c:spPr>
            <a:solidFill>
              <a:schemeClr val="accent6">
                <a:lumMod val="80000"/>
                <a:lumOff val="2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Figure'!$S$5:$S$9</c:f>
              <c:numCache>
                <c:formatCode>General</c:formatCode>
                <c:ptCount val="4"/>
                <c:pt idx="0">
                  <c:v>8.7833333333333332</c:v>
                </c:pt>
                <c:pt idx="1">
                  <c:v>11.333333333333334</c:v>
                </c:pt>
                <c:pt idx="2">
                  <c:v>9.69</c:v>
                </c:pt>
                <c:pt idx="3">
                  <c:v>10.299999999999999</c:v>
                </c:pt>
              </c:numCache>
            </c:numRef>
          </c:val>
          <c:extLst>
            <c:ext xmlns:c16="http://schemas.microsoft.com/office/drawing/2014/chart" uri="{C3380CC4-5D6E-409C-BE32-E72D297353CC}">
              <c16:uniqueId val="{00000011-290A-BC4B-AB0C-A2596A4F96C3}"/>
            </c:ext>
          </c:extLst>
        </c:ser>
        <c:ser>
          <c:idx val="18"/>
          <c:order val="18"/>
          <c:tx>
            <c:strRef>
              <c:f>'Pivot Table + Figure'!$T$3:$T$4</c:f>
              <c:strCache>
                <c:ptCount val="1"/>
                <c:pt idx="0">
                  <c:v>Hearing disability among adults</c:v>
                </c:pt>
              </c:strCache>
            </c:strRef>
          </c:tx>
          <c:spPr>
            <a:solidFill>
              <a:schemeClr val="accent1">
                <a:lumMod val="8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Figure'!$T$5:$T$9</c:f>
              <c:numCache>
                <c:formatCode>General</c:formatCode>
                <c:ptCount val="4"/>
                <c:pt idx="0">
                  <c:v>4.7</c:v>
                </c:pt>
                <c:pt idx="1">
                  <c:v>5.0000000000000009</c:v>
                </c:pt>
                <c:pt idx="2">
                  <c:v>4.6500000000000004</c:v>
                </c:pt>
                <c:pt idx="3">
                  <c:v>4.6454545454545446</c:v>
                </c:pt>
              </c:numCache>
            </c:numRef>
          </c:val>
          <c:extLst>
            <c:ext xmlns:c16="http://schemas.microsoft.com/office/drawing/2014/chart" uri="{C3380CC4-5D6E-409C-BE32-E72D297353CC}">
              <c16:uniqueId val="{00000012-290A-BC4B-AB0C-A2596A4F96C3}"/>
            </c:ext>
          </c:extLst>
        </c:ser>
        <c:ser>
          <c:idx val="19"/>
          <c:order val="19"/>
          <c:tx>
            <c:strRef>
              <c:f>'Pivot Table + Figure'!$U$3:$U$4</c:f>
              <c:strCache>
                <c:ptCount val="1"/>
                <c:pt idx="0">
                  <c:v>High blood pressure among adults</c:v>
                </c:pt>
              </c:strCache>
            </c:strRef>
          </c:tx>
          <c:spPr>
            <a:solidFill>
              <a:schemeClr val="accent2">
                <a:lumMod val="8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Figure'!$U$5:$U$9</c:f>
              <c:numCache>
                <c:formatCode>General</c:formatCode>
                <c:ptCount val="4"/>
                <c:pt idx="0">
                  <c:v>19.516666666666669</c:v>
                </c:pt>
                <c:pt idx="1">
                  <c:v>24.066666666666663</c:v>
                </c:pt>
                <c:pt idx="2">
                  <c:v>19.345454545454547</c:v>
                </c:pt>
                <c:pt idx="3">
                  <c:v>19.645454545454545</c:v>
                </c:pt>
              </c:numCache>
            </c:numRef>
          </c:val>
          <c:extLst>
            <c:ext xmlns:c16="http://schemas.microsoft.com/office/drawing/2014/chart" uri="{C3380CC4-5D6E-409C-BE32-E72D297353CC}">
              <c16:uniqueId val="{00000013-290A-BC4B-AB0C-A2596A4F96C3}"/>
            </c:ext>
          </c:extLst>
        </c:ser>
        <c:ser>
          <c:idx val="20"/>
          <c:order val="20"/>
          <c:tx>
            <c:strRef>
              <c:f>'Pivot Table + Figure'!$V$3:$V$4</c:f>
              <c:strCache>
                <c:ptCount val="1"/>
                <c:pt idx="0">
                  <c:v>High cholesterol among adults who have ever been screened</c:v>
                </c:pt>
              </c:strCache>
            </c:strRef>
          </c:tx>
          <c:spPr>
            <a:solidFill>
              <a:schemeClr val="accent3">
                <a:lumMod val="8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Figure'!$V$5:$V$9</c:f>
              <c:numCache>
                <c:formatCode>General</c:formatCode>
                <c:ptCount val="4"/>
                <c:pt idx="0">
                  <c:v>27.483333333333334</c:v>
                </c:pt>
                <c:pt idx="1">
                  <c:v>28.566666666666666</c:v>
                </c:pt>
                <c:pt idx="2">
                  <c:v>26.410000000000004</c:v>
                </c:pt>
                <c:pt idx="3">
                  <c:v>25.972727272727273</c:v>
                </c:pt>
              </c:numCache>
            </c:numRef>
          </c:val>
          <c:extLst>
            <c:ext xmlns:c16="http://schemas.microsoft.com/office/drawing/2014/chart" uri="{C3380CC4-5D6E-409C-BE32-E72D297353CC}">
              <c16:uniqueId val="{00000014-290A-BC4B-AB0C-A2596A4F96C3}"/>
            </c:ext>
          </c:extLst>
        </c:ser>
        <c:ser>
          <c:idx val="21"/>
          <c:order val="21"/>
          <c:tx>
            <c:strRef>
              <c:f>'Pivot Table + Figure'!$W$3:$W$4</c:f>
              <c:strCache>
                <c:ptCount val="1"/>
                <c:pt idx="0">
                  <c:v>Independent living disability among adults</c:v>
                </c:pt>
              </c:strCache>
            </c:strRef>
          </c:tx>
          <c:spPr>
            <a:solidFill>
              <a:schemeClr val="accent4">
                <a:lumMod val="8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Figure'!$W$5:$W$9</c:f>
              <c:numCache>
                <c:formatCode>General</c:formatCode>
                <c:ptCount val="4"/>
                <c:pt idx="0">
                  <c:v>4.8833333333333337</c:v>
                </c:pt>
                <c:pt idx="1">
                  <c:v>7</c:v>
                </c:pt>
                <c:pt idx="2">
                  <c:v>5.8500000000000014</c:v>
                </c:pt>
                <c:pt idx="3">
                  <c:v>6.3909090909090898</c:v>
                </c:pt>
              </c:numCache>
            </c:numRef>
          </c:val>
          <c:extLst>
            <c:ext xmlns:c16="http://schemas.microsoft.com/office/drawing/2014/chart" uri="{C3380CC4-5D6E-409C-BE32-E72D297353CC}">
              <c16:uniqueId val="{00000015-290A-BC4B-AB0C-A2596A4F96C3}"/>
            </c:ext>
          </c:extLst>
        </c:ser>
        <c:ser>
          <c:idx val="22"/>
          <c:order val="22"/>
          <c:tx>
            <c:strRef>
              <c:f>'Pivot Table + Figure'!$X$3:$X$4</c:f>
              <c:strCache>
                <c:ptCount val="1"/>
                <c:pt idx="0">
                  <c:v>Mammography use among women aged 50-74 years</c:v>
                </c:pt>
              </c:strCache>
            </c:strRef>
          </c:tx>
          <c:spPr>
            <a:solidFill>
              <a:schemeClr val="accent5">
                <a:lumMod val="8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Figure'!$X$5:$X$9</c:f>
              <c:numCache>
                <c:formatCode>General</c:formatCode>
                <c:ptCount val="4"/>
                <c:pt idx="0">
                  <c:v>75.25</c:v>
                </c:pt>
                <c:pt idx="1">
                  <c:v>73.566666666666663</c:v>
                </c:pt>
                <c:pt idx="2">
                  <c:v>73.22999999999999</c:v>
                </c:pt>
                <c:pt idx="3">
                  <c:v>72.472727272727283</c:v>
                </c:pt>
              </c:numCache>
            </c:numRef>
          </c:val>
          <c:extLst>
            <c:ext xmlns:c16="http://schemas.microsoft.com/office/drawing/2014/chart" uri="{C3380CC4-5D6E-409C-BE32-E72D297353CC}">
              <c16:uniqueId val="{00000016-290A-BC4B-AB0C-A2596A4F96C3}"/>
            </c:ext>
          </c:extLst>
        </c:ser>
        <c:ser>
          <c:idx val="23"/>
          <c:order val="23"/>
          <c:tx>
            <c:strRef>
              <c:f>'Pivot Table + Figure'!$Y$3:$Y$4</c:f>
              <c:strCache>
                <c:ptCount val="1"/>
                <c:pt idx="0">
                  <c:v>Mobility disability among adults</c:v>
                </c:pt>
              </c:strCache>
            </c:strRef>
          </c:tx>
          <c:spPr>
            <a:solidFill>
              <a:schemeClr val="accent6">
                <a:lumMod val="8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Figure'!$Y$5:$Y$9</c:f>
              <c:numCache>
                <c:formatCode>General</c:formatCode>
                <c:ptCount val="4"/>
                <c:pt idx="0">
                  <c:v>6.4833333333333334</c:v>
                </c:pt>
                <c:pt idx="1">
                  <c:v>10.166666666666666</c:v>
                </c:pt>
                <c:pt idx="2">
                  <c:v>7.2899999999999974</c:v>
                </c:pt>
                <c:pt idx="3">
                  <c:v>7.963636363636363</c:v>
                </c:pt>
              </c:numCache>
            </c:numRef>
          </c:val>
          <c:extLst>
            <c:ext xmlns:c16="http://schemas.microsoft.com/office/drawing/2014/chart" uri="{C3380CC4-5D6E-409C-BE32-E72D297353CC}">
              <c16:uniqueId val="{00000017-290A-BC4B-AB0C-A2596A4F96C3}"/>
            </c:ext>
          </c:extLst>
        </c:ser>
        <c:ser>
          <c:idx val="24"/>
          <c:order val="24"/>
          <c:tx>
            <c:strRef>
              <c:f>'Pivot Table + Figure'!$Z$3:$Z$4</c:f>
              <c:strCache>
                <c:ptCount val="1"/>
                <c:pt idx="0">
                  <c:v>No leisure-time physical activity among adults</c:v>
                </c:pt>
              </c:strCache>
            </c:strRef>
          </c:tx>
          <c:spPr>
            <a:solidFill>
              <a:schemeClr val="accent1">
                <a:lumMod val="60000"/>
                <a:lumOff val="4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Figure'!$Z$5:$Z$9</c:f>
              <c:numCache>
                <c:formatCode>General</c:formatCode>
                <c:ptCount val="4"/>
                <c:pt idx="0">
                  <c:v>11.983333333333334</c:v>
                </c:pt>
                <c:pt idx="1">
                  <c:v>18.166666666666668</c:v>
                </c:pt>
                <c:pt idx="2">
                  <c:v>14.34</c:v>
                </c:pt>
                <c:pt idx="3">
                  <c:v>16.154545454545453</c:v>
                </c:pt>
              </c:numCache>
            </c:numRef>
          </c:val>
          <c:extLst>
            <c:ext xmlns:c16="http://schemas.microsoft.com/office/drawing/2014/chart" uri="{C3380CC4-5D6E-409C-BE32-E72D297353CC}">
              <c16:uniqueId val="{00000018-290A-BC4B-AB0C-A2596A4F96C3}"/>
            </c:ext>
          </c:extLst>
        </c:ser>
        <c:ser>
          <c:idx val="25"/>
          <c:order val="25"/>
          <c:tx>
            <c:strRef>
              <c:f>'Pivot Table + Figure'!$AA$3:$AA$4</c:f>
              <c:strCache>
                <c:ptCount val="1"/>
                <c:pt idx="0">
                  <c:v>Obesity among adults</c:v>
                </c:pt>
              </c:strCache>
            </c:strRef>
          </c:tx>
          <c:spPr>
            <a:solidFill>
              <a:schemeClr val="accent2">
                <a:lumMod val="60000"/>
                <a:lumOff val="4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Figure'!$AA$5:$AA$9</c:f>
              <c:numCache>
                <c:formatCode>General</c:formatCode>
                <c:ptCount val="4"/>
                <c:pt idx="0">
                  <c:v>18.95</c:v>
                </c:pt>
                <c:pt idx="1">
                  <c:v>23.066666666666663</c:v>
                </c:pt>
                <c:pt idx="2">
                  <c:v>20.11</c:v>
                </c:pt>
                <c:pt idx="3">
                  <c:v>21.727272727272723</c:v>
                </c:pt>
              </c:numCache>
            </c:numRef>
          </c:val>
          <c:extLst>
            <c:ext xmlns:c16="http://schemas.microsoft.com/office/drawing/2014/chart" uri="{C3380CC4-5D6E-409C-BE32-E72D297353CC}">
              <c16:uniqueId val="{00000019-290A-BC4B-AB0C-A2596A4F96C3}"/>
            </c:ext>
          </c:extLst>
        </c:ser>
        <c:ser>
          <c:idx val="26"/>
          <c:order val="26"/>
          <c:tx>
            <c:strRef>
              <c:f>'Pivot Table + Figure'!$AB$3:$AB$4</c:f>
              <c:strCache>
                <c:ptCount val="1"/>
                <c:pt idx="0">
                  <c:v>Self-care disability among adults</c:v>
                </c:pt>
              </c:strCache>
            </c:strRef>
          </c:tx>
          <c:spPr>
            <a:solidFill>
              <a:schemeClr val="accent3">
                <a:lumMod val="60000"/>
                <a:lumOff val="4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Figure'!$AB$5:$AB$9</c:f>
              <c:numCache>
                <c:formatCode>General</c:formatCode>
                <c:ptCount val="4"/>
                <c:pt idx="0">
                  <c:v>1.8166666666666667</c:v>
                </c:pt>
                <c:pt idx="1">
                  <c:v>3.1999999999999997</c:v>
                </c:pt>
                <c:pt idx="2">
                  <c:v>2.27</c:v>
                </c:pt>
                <c:pt idx="3">
                  <c:v>2.627272727272727</c:v>
                </c:pt>
              </c:numCache>
            </c:numRef>
          </c:val>
          <c:extLst>
            <c:ext xmlns:c16="http://schemas.microsoft.com/office/drawing/2014/chart" uri="{C3380CC4-5D6E-409C-BE32-E72D297353CC}">
              <c16:uniqueId val="{0000001A-290A-BC4B-AB0C-A2596A4F96C3}"/>
            </c:ext>
          </c:extLst>
        </c:ser>
        <c:ser>
          <c:idx val="27"/>
          <c:order val="27"/>
          <c:tx>
            <c:strRef>
              <c:f>'Pivot Table + Figure'!$AC$3:$AC$4</c:f>
              <c:strCache>
                <c:ptCount val="1"/>
                <c:pt idx="0">
                  <c:v>Short sleep duration among adults</c:v>
                </c:pt>
              </c:strCache>
            </c:strRef>
          </c:tx>
          <c:spPr>
            <a:solidFill>
              <a:schemeClr val="accent4">
                <a:lumMod val="60000"/>
                <a:lumOff val="4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Figure'!$AC$5:$AC$9</c:f>
              <c:numCache>
                <c:formatCode>General</c:formatCode>
                <c:ptCount val="4"/>
                <c:pt idx="0">
                  <c:v>25.683333333333337</c:v>
                </c:pt>
                <c:pt idx="1">
                  <c:v>30.133333333333336</c:v>
                </c:pt>
                <c:pt idx="2">
                  <c:v>27.240000000000002</c:v>
                </c:pt>
                <c:pt idx="3">
                  <c:v>28.681818181818183</c:v>
                </c:pt>
              </c:numCache>
            </c:numRef>
          </c:val>
          <c:extLst>
            <c:ext xmlns:c16="http://schemas.microsoft.com/office/drawing/2014/chart" uri="{C3380CC4-5D6E-409C-BE32-E72D297353CC}">
              <c16:uniqueId val="{0000001B-290A-BC4B-AB0C-A2596A4F96C3}"/>
            </c:ext>
          </c:extLst>
        </c:ser>
        <c:ser>
          <c:idx val="28"/>
          <c:order val="28"/>
          <c:tx>
            <c:strRef>
              <c:f>'Pivot Table + Figure'!$AD$3:$AD$4</c:f>
              <c:strCache>
                <c:ptCount val="1"/>
                <c:pt idx="0">
                  <c:v>Stroke among adults</c:v>
                </c:pt>
              </c:strCache>
            </c:strRef>
          </c:tx>
          <c:spPr>
            <a:solidFill>
              <a:schemeClr val="accent5">
                <a:lumMod val="60000"/>
                <a:lumOff val="4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Figure'!$AD$5:$AD$9</c:f>
              <c:numCache>
                <c:formatCode>General</c:formatCode>
                <c:ptCount val="4"/>
                <c:pt idx="0">
                  <c:v>1.8500000000000003</c:v>
                </c:pt>
                <c:pt idx="1">
                  <c:v>2.6999999999999997</c:v>
                </c:pt>
                <c:pt idx="2">
                  <c:v>1.9500000000000004</c:v>
                </c:pt>
                <c:pt idx="3">
                  <c:v>2.0363636363636362</c:v>
                </c:pt>
              </c:numCache>
            </c:numRef>
          </c:val>
          <c:extLst>
            <c:ext xmlns:c16="http://schemas.microsoft.com/office/drawing/2014/chart" uri="{C3380CC4-5D6E-409C-BE32-E72D297353CC}">
              <c16:uniqueId val="{0000001C-290A-BC4B-AB0C-A2596A4F96C3}"/>
            </c:ext>
          </c:extLst>
        </c:ser>
        <c:ser>
          <c:idx val="29"/>
          <c:order val="29"/>
          <c:tx>
            <c:strRef>
              <c:f>'Pivot Table + Figure'!$AE$3:$AE$4</c:f>
              <c:strCache>
                <c:ptCount val="1"/>
                <c:pt idx="0">
                  <c:v>Taking medicine to control high blood pressure among adults with high blood pressure</c:v>
                </c:pt>
              </c:strCache>
            </c:strRef>
          </c:tx>
          <c:spPr>
            <a:solidFill>
              <a:schemeClr val="accent6">
                <a:lumMod val="60000"/>
                <a:lumOff val="4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Figure'!$AE$5:$AE$9</c:f>
              <c:numCache>
                <c:formatCode>General</c:formatCode>
                <c:ptCount val="4"/>
                <c:pt idx="0">
                  <c:v>65.050000000000011</c:v>
                </c:pt>
                <c:pt idx="1">
                  <c:v>67.266666666666666</c:v>
                </c:pt>
                <c:pt idx="2">
                  <c:v>62.70000000000001</c:v>
                </c:pt>
                <c:pt idx="3">
                  <c:v>61.463636363636368</c:v>
                </c:pt>
              </c:numCache>
            </c:numRef>
          </c:val>
          <c:extLst>
            <c:ext xmlns:c16="http://schemas.microsoft.com/office/drawing/2014/chart" uri="{C3380CC4-5D6E-409C-BE32-E72D297353CC}">
              <c16:uniqueId val="{0000001D-290A-BC4B-AB0C-A2596A4F96C3}"/>
            </c:ext>
          </c:extLst>
        </c:ser>
        <c:ser>
          <c:idx val="30"/>
          <c:order val="30"/>
          <c:tx>
            <c:strRef>
              <c:f>'Pivot Table + Figure'!$AF$3:$AF$4</c:f>
              <c:strCache>
                <c:ptCount val="1"/>
                <c:pt idx="0">
                  <c:v>Vision disability among adults</c:v>
                </c:pt>
              </c:strCache>
            </c:strRef>
          </c:tx>
          <c:spPr>
            <a:solidFill>
              <a:schemeClr val="accent1">
                <a:lumMod val="5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Figure'!$AF$5:$AF$9</c:f>
              <c:numCache>
                <c:formatCode>General</c:formatCode>
                <c:ptCount val="4"/>
                <c:pt idx="0">
                  <c:v>2.6999999999999997</c:v>
                </c:pt>
                <c:pt idx="1">
                  <c:v>4.8</c:v>
                </c:pt>
                <c:pt idx="2">
                  <c:v>3.55</c:v>
                </c:pt>
                <c:pt idx="3">
                  <c:v>4.1181818181818182</c:v>
                </c:pt>
              </c:numCache>
            </c:numRef>
          </c:val>
          <c:extLst>
            <c:ext xmlns:c16="http://schemas.microsoft.com/office/drawing/2014/chart" uri="{C3380CC4-5D6E-409C-BE32-E72D297353CC}">
              <c16:uniqueId val="{0000001E-290A-BC4B-AB0C-A2596A4F96C3}"/>
            </c:ext>
          </c:extLst>
        </c:ser>
        <c:ser>
          <c:idx val="31"/>
          <c:order val="31"/>
          <c:tx>
            <c:strRef>
              <c:f>'Pivot Table + Figure'!$AG$3:$AG$4</c:f>
              <c:strCache>
                <c:ptCount val="1"/>
                <c:pt idx="0">
                  <c:v>Visited dentist or dental clinic in the past year among adults</c:v>
                </c:pt>
              </c:strCache>
            </c:strRef>
          </c:tx>
          <c:spPr>
            <a:solidFill>
              <a:schemeClr val="accent2">
                <a:lumMod val="5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Figure'!$AG$5:$AG$9</c:f>
              <c:numCache>
                <c:formatCode>General</c:formatCode>
                <c:ptCount val="4"/>
                <c:pt idx="0">
                  <c:v>72.766666666666666</c:v>
                </c:pt>
                <c:pt idx="1">
                  <c:v>63.300000000000004</c:v>
                </c:pt>
                <c:pt idx="2">
                  <c:v>68.070000000000007</c:v>
                </c:pt>
                <c:pt idx="3">
                  <c:v>64.345454545454544</c:v>
                </c:pt>
              </c:numCache>
            </c:numRef>
          </c:val>
          <c:extLst>
            <c:ext xmlns:c16="http://schemas.microsoft.com/office/drawing/2014/chart" uri="{C3380CC4-5D6E-409C-BE32-E72D297353CC}">
              <c16:uniqueId val="{0000001F-290A-BC4B-AB0C-A2596A4F96C3}"/>
            </c:ext>
          </c:extLst>
        </c:ser>
        <c:ser>
          <c:idx val="32"/>
          <c:order val="32"/>
          <c:tx>
            <c:strRef>
              <c:f>'Pivot Table + Figure'!$AH$3:$AH$4</c:f>
              <c:strCache>
                <c:ptCount val="1"/>
                <c:pt idx="0">
                  <c:v>Visits to doctor for routine checkup within the past year among adults</c:v>
                </c:pt>
              </c:strCache>
            </c:strRef>
          </c:tx>
          <c:spPr>
            <a:solidFill>
              <a:schemeClr val="accent3">
                <a:lumMod val="50000"/>
              </a:schemeClr>
            </a:solidFill>
            <a:ln>
              <a:noFill/>
            </a:ln>
            <a:effectLst/>
          </c:spPr>
          <c:invertIfNegative val="0"/>
          <c:cat>
            <c:strRef>
              <c:f>'Pivot Table + Figure'!$A$5:$A$9</c:f>
              <c:strCache>
                <c:ptCount val="4"/>
                <c:pt idx="0">
                  <c:v>A</c:v>
                </c:pt>
                <c:pt idx="1">
                  <c:v>B</c:v>
                </c:pt>
                <c:pt idx="2">
                  <c:v>C</c:v>
                </c:pt>
                <c:pt idx="3">
                  <c:v>D</c:v>
                </c:pt>
              </c:strCache>
            </c:strRef>
          </c:cat>
          <c:val>
            <c:numRef>
              <c:f>'Pivot Table + Figure'!$AH$5:$AH$9</c:f>
              <c:numCache>
                <c:formatCode>General</c:formatCode>
                <c:ptCount val="4"/>
                <c:pt idx="0">
                  <c:v>70.116666666666674</c:v>
                </c:pt>
                <c:pt idx="1">
                  <c:v>70.899999999999991</c:v>
                </c:pt>
                <c:pt idx="2">
                  <c:v>68.679999999999993</c:v>
                </c:pt>
                <c:pt idx="3">
                  <c:v>67.863636363636388</c:v>
                </c:pt>
              </c:numCache>
            </c:numRef>
          </c:val>
          <c:extLst>
            <c:ext xmlns:c16="http://schemas.microsoft.com/office/drawing/2014/chart" uri="{C3380CC4-5D6E-409C-BE32-E72D297353CC}">
              <c16:uniqueId val="{00000020-290A-BC4B-AB0C-A2596A4F96C3}"/>
            </c:ext>
          </c:extLst>
        </c:ser>
        <c:dLbls>
          <c:showLegendKey val="0"/>
          <c:showVal val="0"/>
          <c:showCatName val="0"/>
          <c:showSerName val="0"/>
          <c:showPercent val="0"/>
          <c:showBubbleSize val="0"/>
        </c:dLbls>
        <c:gapWidth val="219"/>
        <c:overlap val="-27"/>
        <c:axId val="2090685760"/>
        <c:axId val="1863206272"/>
      </c:barChart>
      <c:catAx>
        <c:axId val="209068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06272"/>
        <c:crosses val="autoZero"/>
        <c:auto val="1"/>
        <c:lblAlgn val="ctr"/>
        <c:lblOffset val="100"/>
        <c:noMultiLvlLbl val="0"/>
      </c:catAx>
      <c:valAx>
        <c:axId val="18632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68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2889250</xdr:colOff>
      <xdr:row>10</xdr:row>
      <xdr:rowOff>133350</xdr:rowOff>
    </xdr:from>
    <xdr:to>
      <xdr:col>4</xdr:col>
      <xdr:colOff>1200150</xdr:colOff>
      <xdr:row>24</xdr:row>
      <xdr:rowOff>31750</xdr:rowOff>
    </xdr:to>
    <xdr:graphicFrame macro="">
      <xdr:nvGraphicFramePr>
        <xdr:cNvPr id="2" name="Chart 1">
          <a:extLst>
            <a:ext uri="{FF2B5EF4-FFF2-40B4-BE49-F238E27FC236}">
              <a16:creationId xmlns:a16="http://schemas.microsoft.com/office/drawing/2014/main" id="{81FCB743-5DFC-B660-CFCA-756C844EE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xdr:colOff>
      <xdr:row>10</xdr:row>
      <xdr:rowOff>127000</xdr:rowOff>
    </xdr:from>
    <xdr:to>
      <xdr:col>1</xdr:col>
      <xdr:colOff>1866900</xdr:colOff>
      <xdr:row>23</xdr:row>
      <xdr:rowOff>104772</xdr:rowOff>
    </xdr:to>
    <mc:AlternateContent xmlns:mc="http://schemas.openxmlformats.org/markup-compatibility/2006">
      <mc:Choice xmlns:a14="http://schemas.microsoft.com/office/drawing/2010/main" Requires="a14">
        <xdr:graphicFrame macro="">
          <xdr:nvGraphicFramePr>
            <xdr:cNvPr id="3" name="Measure">
              <a:extLst>
                <a:ext uri="{FF2B5EF4-FFF2-40B4-BE49-F238E27FC236}">
                  <a16:creationId xmlns:a16="http://schemas.microsoft.com/office/drawing/2014/main" id="{C8986DC5-6017-6DDF-F7FB-38E68595A353}"/>
                </a:ext>
              </a:extLst>
            </xdr:cNvPr>
            <xdr:cNvGraphicFramePr/>
          </xdr:nvGraphicFramePr>
          <xdr:xfrm>
            <a:off x="0" y="0"/>
            <a:ext cx="0" cy="0"/>
          </xdr:xfrm>
          <a:graphic>
            <a:graphicData uri="http://schemas.microsoft.com/office/drawing/2010/slicer">
              <sle:slicer xmlns:sle="http://schemas.microsoft.com/office/drawing/2010/slicer" name="Measure"/>
            </a:graphicData>
          </a:graphic>
        </xdr:graphicFrame>
      </mc:Choice>
      <mc:Fallback>
        <xdr:sp macro="" textlink="">
          <xdr:nvSpPr>
            <xdr:cNvPr id="0" name=""/>
            <xdr:cNvSpPr>
              <a:spLocks noTextEdit="1"/>
            </xdr:cNvSpPr>
          </xdr:nvSpPr>
          <xdr:spPr>
            <a:xfrm>
              <a:off x="1600200" y="2159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5.884758449072" createdVersion="8" refreshedVersion="8" minRefreshableVersion="3" recordCount="1000" xr:uid="{00C677F3-A0F6-8947-B9DD-2299373A0CD4}">
  <cacheSource type="worksheet">
    <worksheetSource ref="A1:M1001" sheet="Sheet2"/>
  </cacheSource>
  <cacheFields count="13">
    <cacheField name="Year" numFmtId="0">
      <sharedItems containsSemiMixedTypes="0" containsString="0" containsNumber="1" containsInteger="1" minValue="2022" maxValue="2023"/>
    </cacheField>
    <cacheField name="LocationName" numFmtId="0">
      <sharedItems containsSemiMixedTypes="0" containsString="0" containsNumber="1" containsInteger="1" minValue="80204" maxValue="80246"/>
    </cacheField>
    <cacheField name="Category" numFmtId="0">
      <sharedItems/>
    </cacheField>
    <cacheField name="Measure" numFmtId="0">
      <sharedItems count="33">
        <s v="Current lack of health insurance among adults aged 18-64 years"/>
        <s v="Arthritis among adults"/>
        <s v="Binge drinking among adults"/>
        <s v="High blood pressure among adults"/>
        <s v="Taking medicine to control high blood pressure among adults with high blood pressure"/>
        <s v="Cancer (non-skin) or melanoma among adults"/>
        <s v="Current asthma among adults"/>
        <s v="Coronary heart disease among adults"/>
        <s v="Visits to doctor for routine checkup within the past year among adults"/>
        <s v="Cholesterol screening among adults"/>
        <s v="Cognitive disability among adults"/>
        <s v="Colorectal cancer screening among adults aged 45‚Äì75 years"/>
        <s v="Chronic obstructive pulmonary disease among adults"/>
        <s v="Current cigarette smoking among adults"/>
        <s v="Visited dentist or dental clinic in the past year among adults"/>
        <s v="Depression among adults"/>
        <s v="Diagnosed diabetes among adults"/>
        <s v="Any disability among adults"/>
        <s v="Fair or poor self-rated health status among adults"/>
        <s v="Hearing disability among adults"/>
        <s v="High cholesterol among adults who have ever been screened"/>
        <s v="Independent living disability among adults"/>
        <s v="No leisure-time physical activity among adults"/>
        <s v="Mammography use among women aged 50-74 years"/>
        <s v="Frequent mental distress among adults"/>
        <s v="Mobility disability among adults"/>
        <s v="Obesity among adults"/>
        <s v="Frequent physical distress among adults"/>
        <s v="Self-care disability among adults"/>
        <s v="Short sleep duration among adults"/>
        <s v="Stroke among adults"/>
        <s v="All teeth lost among adults aged &gt;=65 years"/>
        <s v="Vision disability among adults"/>
      </sharedItems>
    </cacheField>
    <cacheField name="Data_Value_Unit" numFmtId="0">
      <sharedItems/>
    </cacheField>
    <cacheField name="Data_Value_Type" numFmtId="0">
      <sharedItems/>
    </cacheField>
    <cacheField name="Data_Value" numFmtId="0">
      <sharedItems containsSemiMixedTypes="0" containsString="0" containsNumber="1" minValue="1.6" maxValue="87.5"/>
    </cacheField>
    <cacheField name="TotalPopulation" numFmtId="3">
      <sharedItems containsSemiMixedTypes="0" containsString="0" containsNumber="1" containsInteger="1" minValue="13265" maxValue="39394"/>
    </cacheField>
    <cacheField name="NBHD_Name" numFmtId="0">
      <sharedItems/>
    </cacheField>
    <cacheField name="ZIP_Code" numFmtId="0">
      <sharedItems containsSemiMixedTypes="0" containsString="0" containsNumber="1" containsInteger="1" minValue="80204" maxValue="80246"/>
    </cacheField>
    <cacheField name="name" numFmtId="0">
      <sharedItems/>
    </cacheField>
    <cacheField name="grade" numFmtId="49">
      <sharedItems count="4">
        <s v="A"/>
        <s v="B"/>
        <s v="C"/>
        <s v="D"/>
      </sharedItems>
    </cacheField>
    <cacheField name="RedLine_Scor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431722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023"/>
    <n v="80246"/>
    <s v="Prevention"/>
    <x v="0"/>
    <s v="%"/>
    <s v="Crude prevalence"/>
    <n v="10.9"/>
    <n v="13265"/>
    <s v="Belcaro"/>
    <n v="80246"/>
    <s v="Belcaro"/>
    <x v="0"/>
    <n v="4"/>
  </r>
  <r>
    <n v="2023"/>
    <n v="80246"/>
    <s v="Health Outcomes"/>
    <x v="1"/>
    <s v="%"/>
    <s v="Crude prevalence"/>
    <n v="14.7"/>
    <n v="13265"/>
    <s v="Belcaro"/>
    <n v="80246"/>
    <s v="Belcaro"/>
    <x v="0"/>
    <n v="4"/>
  </r>
  <r>
    <n v="2023"/>
    <n v="80246"/>
    <s v="Health Risk Behaviors"/>
    <x v="2"/>
    <s v="%"/>
    <s v="Crude prevalence"/>
    <n v="26.4"/>
    <n v="13265"/>
    <s v="Belcaro"/>
    <n v="80246"/>
    <s v="Belcaro"/>
    <x v="0"/>
    <n v="4"/>
  </r>
  <r>
    <n v="2023"/>
    <n v="80246"/>
    <s v="Health Outcomes"/>
    <x v="3"/>
    <s v="%"/>
    <s v="Crude prevalence"/>
    <n v="18.100000000000001"/>
    <n v="13265"/>
    <s v="Belcaro"/>
    <n v="80246"/>
    <s v="Belcaro"/>
    <x v="0"/>
    <n v="4"/>
  </r>
  <r>
    <n v="2023"/>
    <n v="80246"/>
    <s v="Prevention"/>
    <x v="4"/>
    <s v="%"/>
    <s v="Crude prevalence"/>
    <n v="58.6"/>
    <n v="13265"/>
    <s v="Belcaro"/>
    <n v="80246"/>
    <s v="Belcaro"/>
    <x v="0"/>
    <n v="4"/>
  </r>
  <r>
    <n v="2023"/>
    <n v="80246"/>
    <s v="Health Outcomes"/>
    <x v="5"/>
    <s v="%"/>
    <s v="Crude prevalence"/>
    <n v="5.0999999999999996"/>
    <n v="13265"/>
    <s v="Belcaro"/>
    <n v="80246"/>
    <s v="Belcaro"/>
    <x v="0"/>
    <n v="4"/>
  </r>
  <r>
    <n v="2023"/>
    <n v="80246"/>
    <s v="Health Outcomes"/>
    <x v="6"/>
    <s v="%"/>
    <s v="Crude prevalence"/>
    <n v="10.5"/>
    <n v="13265"/>
    <s v="Belcaro"/>
    <n v="80246"/>
    <s v="Belcaro"/>
    <x v="0"/>
    <n v="4"/>
  </r>
  <r>
    <n v="2023"/>
    <n v="80246"/>
    <s v="Health Outcomes"/>
    <x v="7"/>
    <s v="%"/>
    <s v="Crude prevalence"/>
    <n v="3"/>
    <n v="13265"/>
    <s v="Belcaro"/>
    <n v="80246"/>
    <s v="Belcaro"/>
    <x v="0"/>
    <n v="4"/>
  </r>
  <r>
    <n v="2023"/>
    <n v="80246"/>
    <s v="Prevention"/>
    <x v="8"/>
    <s v="%"/>
    <s v="Crude prevalence"/>
    <n v="66.099999999999994"/>
    <n v="13265"/>
    <s v="Belcaro"/>
    <n v="80246"/>
    <s v="Belcaro"/>
    <x v="0"/>
    <n v="4"/>
  </r>
  <r>
    <n v="2023"/>
    <n v="80246"/>
    <s v="Prevention"/>
    <x v="9"/>
    <s v="%"/>
    <s v="Crude prevalence"/>
    <n v="81.3"/>
    <n v="13265"/>
    <s v="Belcaro"/>
    <n v="80246"/>
    <s v="Belcaro"/>
    <x v="0"/>
    <n v="4"/>
  </r>
  <r>
    <n v="2023"/>
    <n v="80246"/>
    <s v="Disability"/>
    <x v="10"/>
    <s v="%"/>
    <s v="Crude prevalence"/>
    <n v="13.8"/>
    <n v="13265"/>
    <s v="Belcaro"/>
    <n v="80246"/>
    <s v="Belcaro"/>
    <x v="0"/>
    <n v="4"/>
  </r>
  <r>
    <n v="2022"/>
    <n v="80246"/>
    <s v="Prevention"/>
    <x v="11"/>
    <s v="%"/>
    <s v="Crude prevalence"/>
    <n v="64.3"/>
    <n v="13265"/>
    <s v="Belcaro"/>
    <n v="80246"/>
    <s v="Belcaro"/>
    <x v="0"/>
    <n v="4"/>
  </r>
  <r>
    <n v="2023"/>
    <n v="80246"/>
    <s v="Health Outcomes"/>
    <x v="12"/>
    <s v="%"/>
    <s v="Crude prevalence"/>
    <n v="3.2"/>
    <n v="13265"/>
    <s v="Belcaro"/>
    <n v="80246"/>
    <s v="Belcaro"/>
    <x v="0"/>
    <n v="4"/>
  </r>
  <r>
    <n v="2023"/>
    <n v="80246"/>
    <s v="Health Risk Behaviors"/>
    <x v="13"/>
    <s v="%"/>
    <s v="Crude prevalence"/>
    <n v="9"/>
    <n v="13265"/>
    <s v="Belcaro"/>
    <n v="80246"/>
    <s v="Belcaro"/>
    <x v="0"/>
    <n v="4"/>
  </r>
  <r>
    <n v="2022"/>
    <n v="80246"/>
    <s v="Prevention"/>
    <x v="14"/>
    <s v="%"/>
    <s v="Crude prevalence"/>
    <n v="66.5"/>
    <n v="13265"/>
    <s v="Belcaro"/>
    <n v="80246"/>
    <s v="Belcaro"/>
    <x v="0"/>
    <n v="4"/>
  </r>
  <r>
    <n v="2023"/>
    <n v="80246"/>
    <s v="Health Outcomes"/>
    <x v="15"/>
    <s v="%"/>
    <s v="Crude prevalence"/>
    <n v="24.5"/>
    <n v="13265"/>
    <s v="Belcaro"/>
    <n v="80246"/>
    <s v="Belcaro"/>
    <x v="0"/>
    <n v="4"/>
  </r>
  <r>
    <n v="2023"/>
    <n v="80246"/>
    <s v="Health Outcomes"/>
    <x v="16"/>
    <s v="%"/>
    <s v="Crude prevalence"/>
    <n v="5"/>
    <n v="13265"/>
    <s v="Belcaro"/>
    <n v="80246"/>
    <s v="Belcaro"/>
    <x v="0"/>
    <n v="4"/>
  </r>
  <r>
    <n v="2023"/>
    <n v="80246"/>
    <s v="Disability"/>
    <x v="17"/>
    <s v="%"/>
    <s v="Crude prevalence"/>
    <n v="22.4"/>
    <n v="13265"/>
    <s v="Belcaro"/>
    <n v="80246"/>
    <s v="Belcaro"/>
    <x v="0"/>
    <n v="4"/>
  </r>
  <r>
    <n v="2023"/>
    <n v="80246"/>
    <s v="Health Status"/>
    <x v="18"/>
    <s v="%"/>
    <s v="Crude prevalence"/>
    <n v="11.8"/>
    <n v="13265"/>
    <s v="Belcaro"/>
    <n v="80246"/>
    <s v="Belcaro"/>
    <x v="0"/>
    <n v="4"/>
  </r>
  <r>
    <n v="2023"/>
    <n v="80246"/>
    <s v="Disability"/>
    <x v="19"/>
    <s v="%"/>
    <s v="Crude prevalence"/>
    <n v="4.2"/>
    <n v="13265"/>
    <s v="Belcaro"/>
    <n v="80246"/>
    <s v="Belcaro"/>
    <x v="0"/>
    <n v="4"/>
  </r>
  <r>
    <n v="2023"/>
    <n v="80246"/>
    <s v="Health Outcomes"/>
    <x v="20"/>
    <s v="%"/>
    <s v="Crude prevalence"/>
    <n v="24.2"/>
    <n v="13265"/>
    <s v="Belcaro"/>
    <n v="80246"/>
    <s v="Belcaro"/>
    <x v="0"/>
    <n v="4"/>
  </r>
  <r>
    <n v="2023"/>
    <n v="80246"/>
    <s v="Disability"/>
    <x v="21"/>
    <s v="%"/>
    <s v="Crude prevalence"/>
    <n v="5.8"/>
    <n v="13265"/>
    <s v="Belcaro"/>
    <n v="80246"/>
    <s v="Belcaro"/>
    <x v="0"/>
    <n v="4"/>
  </r>
  <r>
    <n v="2023"/>
    <n v="80246"/>
    <s v="Health Risk Behaviors"/>
    <x v="22"/>
    <s v="%"/>
    <s v="Crude prevalence"/>
    <n v="14.1"/>
    <n v="13265"/>
    <s v="Belcaro"/>
    <n v="80246"/>
    <s v="Belcaro"/>
    <x v="0"/>
    <n v="4"/>
  </r>
  <r>
    <n v="2022"/>
    <n v="80246"/>
    <s v="Prevention"/>
    <x v="23"/>
    <s v="%"/>
    <s v="Crude prevalence"/>
    <n v="74.3"/>
    <n v="13265"/>
    <s v="Belcaro"/>
    <n v="80246"/>
    <s v="Belcaro"/>
    <x v="0"/>
    <n v="4"/>
  </r>
  <r>
    <n v="2023"/>
    <n v="80246"/>
    <s v="Health Status"/>
    <x v="24"/>
    <s v="%"/>
    <s v="Crude prevalence"/>
    <n v="16.8"/>
    <n v="13265"/>
    <s v="Belcaro"/>
    <n v="80246"/>
    <s v="Belcaro"/>
    <x v="0"/>
    <n v="4"/>
  </r>
  <r>
    <n v="2023"/>
    <n v="80246"/>
    <s v="Disability"/>
    <x v="25"/>
    <s v="%"/>
    <s v="Crude prevalence"/>
    <n v="6.1"/>
    <n v="13265"/>
    <s v="Belcaro"/>
    <n v="80246"/>
    <s v="Belcaro"/>
    <x v="0"/>
    <n v="4"/>
  </r>
  <r>
    <n v="2023"/>
    <n v="80246"/>
    <s v="Health Outcomes"/>
    <x v="26"/>
    <s v="%"/>
    <s v="Crude prevalence"/>
    <n v="21.7"/>
    <n v="13265"/>
    <s v="Belcaro"/>
    <n v="80246"/>
    <s v="Belcaro"/>
    <x v="0"/>
    <n v="4"/>
  </r>
  <r>
    <n v="2023"/>
    <n v="80246"/>
    <s v="Health Status"/>
    <x v="27"/>
    <s v="%"/>
    <s v="Crude prevalence"/>
    <n v="9.1999999999999993"/>
    <n v="13265"/>
    <s v="Belcaro"/>
    <n v="80246"/>
    <s v="Belcaro"/>
    <x v="0"/>
    <n v="4"/>
  </r>
  <r>
    <n v="2023"/>
    <n v="80246"/>
    <s v="Disability"/>
    <x v="28"/>
    <s v="%"/>
    <s v="Crude prevalence"/>
    <n v="2"/>
    <n v="13265"/>
    <s v="Belcaro"/>
    <n v="80246"/>
    <s v="Belcaro"/>
    <x v="0"/>
    <n v="4"/>
  </r>
  <r>
    <n v="2022"/>
    <n v="80246"/>
    <s v="Health Risk Behaviors"/>
    <x v="29"/>
    <s v="%"/>
    <s v="Crude prevalence"/>
    <n v="29.2"/>
    <n v="13265"/>
    <s v="Belcaro"/>
    <n v="80246"/>
    <s v="Belcaro"/>
    <x v="0"/>
    <n v="4"/>
  </r>
  <r>
    <n v="2023"/>
    <n v="80246"/>
    <s v="Health Outcomes"/>
    <x v="30"/>
    <s v="%"/>
    <s v="Crude prevalence"/>
    <n v="1.6"/>
    <n v="13265"/>
    <s v="Belcaro"/>
    <n v="80246"/>
    <s v="Belcaro"/>
    <x v="0"/>
    <n v="4"/>
  </r>
  <r>
    <n v="2022"/>
    <n v="80246"/>
    <s v="Health Outcomes"/>
    <x v="31"/>
    <s v="%"/>
    <s v="Crude prevalence"/>
    <n v="5.9"/>
    <n v="13265"/>
    <s v="Belcaro"/>
    <n v="80246"/>
    <s v="Belcaro"/>
    <x v="0"/>
    <n v="4"/>
  </r>
  <r>
    <n v="2023"/>
    <n v="80246"/>
    <s v="Disability"/>
    <x v="32"/>
    <s v="%"/>
    <s v="Crude prevalence"/>
    <n v="3.3"/>
    <n v="13265"/>
    <s v="Belcaro"/>
    <n v="80246"/>
    <s v="Belcaro"/>
    <x v="0"/>
    <n v="4"/>
  </r>
  <r>
    <n v="2023"/>
    <n v="80204"/>
    <s v="Prevention"/>
    <x v="0"/>
    <s v="%"/>
    <s v="Crude prevalence"/>
    <n v="17.100000000000001"/>
    <n v="35269"/>
    <s v="Sloan Lake"/>
    <n v="80204"/>
    <s v="Sloan Lake"/>
    <x v="1"/>
    <n v="4"/>
  </r>
  <r>
    <n v="2023"/>
    <n v="80204"/>
    <s v="Prevention"/>
    <x v="0"/>
    <s v="%"/>
    <s v="Crude prevalence"/>
    <n v="17.100000000000001"/>
    <n v="35269"/>
    <s v="Sloan Lake"/>
    <n v="80204"/>
    <s v="Sloan Lake"/>
    <x v="2"/>
    <n v="3"/>
  </r>
  <r>
    <n v="2023"/>
    <n v="80204"/>
    <s v="Prevention"/>
    <x v="0"/>
    <s v="%"/>
    <s v="Crude prevalence"/>
    <n v="17.100000000000001"/>
    <n v="35269"/>
    <s v="Villa Park"/>
    <n v="80204"/>
    <s v="Villa Park"/>
    <x v="3"/>
    <n v="2"/>
  </r>
  <r>
    <n v="2023"/>
    <n v="80204"/>
    <s v="Prevention"/>
    <x v="0"/>
    <s v="%"/>
    <s v="Crude prevalence"/>
    <n v="17.100000000000001"/>
    <n v="35269"/>
    <s v="Lincoln Park"/>
    <n v="80204"/>
    <s v="Lincoln Park"/>
    <x v="3"/>
    <n v="1"/>
  </r>
  <r>
    <n v="2023"/>
    <n v="80204"/>
    <s v="Prevention"/>
    <x v="0"/>
    <s v="%"/>
    <s v="Crude prevalence"/>
    <n v="17.100000000000001"/>
    <n v="35269"/>
    <s v="Auraria"/>
    <n v="80204"/>
    <s v="Auraria"/>
    <x v="3"/>
    <n v="1"/>
  </r>
  <r>
    <n v="2023"/>
    <n v="80204"/>
    <s v="Prevention"/>
    <x v="0"/>
    <s v="%"/>
    <s v="Crude prevalence"/>
    <n v="17.100000000000001"/>
    <n v="35269"/>
    <s v="West Colfax"/>
    <n v="80204"/>
    <s v="West Colfax"/>
    <x v="2"/>
    <n v="1"/>
  </r>
  <r>
    <n v="2023"/>
    <n v="80204"/>
    <s v="Health Outcomes"/>
    <x v="1"/>
    <s v="%"/>
    <s v="Crude prevalence"/>
    <n v="15.9"/>
    <n v="35269"/>
    <s v="Sloan Lake"/>
    <n v="80204"/>
    <s v="Sloan Lake"/>
    <x v="1"/>
    <n v="2"/>
  </r>
  <r>
    <n v="2023"/>
    <n v="80204"/>
    <s v="Health Outcomes"/>
    <x v="1"/>
    <s v="%"/>
    <s v="Crude prevalence"/>
    <n v="15.9"/>
    <n v="35269"/>
    <s v="Sloan Lake"/>
    <n v="80204"/>
    <s v="Sloan Lake"/>
    <x v="2"/>
    <n v="3"/>
  </r>
  <r>
    <n v="2023"/>
    <n v="80204"/>
    <s v="Health Outcomes"/>
    <x v="1"/>
    <s v="%"/>
    <s v="Crude prevalence"/>
    <n v="15.9"/>
    <n v="35269"/>
    <s v="Villa Park"/>
    <n v="80204"/>
    <s v="Villa Park"/>
    <x v="3"/>
    <n v="2"/>
  </r>
  <r>
    <n v="2023"/>
    <n v="80204"/>
    <s v="Health Outcomes"/>
    <x v="1"/>
    <s v="%"/>
    <s v="Crude prevalence"/>
    <n v="15.9"/>
    <n v="35269"/>
    <s v="Lincoln Park"/>
    <n v="80204"/>
    <s v="Lincoln Park"/>
    <x v="3"/>
    <n v="1"/>
  </r>
  <r>
    <n v="2023"/>
    <n v="80204"/>
    <s v="Health Outcomes"/>
    <x v="1"/>
    <s v="%"/>
    <s v="Crude prevalence"/>
    <n v="15.9"/>
    <n v="35269"/>
    <s v="Auraria"/>
    <n v="80204"/>
    <s v="Auraria"/>
    <x v="3"/>
    <n v="1"/>
  </r>
  <r>
    <n v="2023"/>
    <n v="80204"/>
    <s v="Health Outcomes"/>
    <x v="1"/>
    <s v="%"/>
    <s v="Crude prevalence"/>
    <n v="15.9"/>
    <n v="35269"/>
    <s v="West Colfax"/>
    <n v="80204"/>
    <s v="West Colfax"/>
    <x v="2"/>
    <n v="1"/>
  </r>
  <r>
    <n v="2023"/>
    <n v="80204"/>
    <s v="Health Risk Behaviors"/>
    <x v="2"/>
    <s v="%"/>
    <s v="Crude prevalence"/>
    <n v="26.7"/>
    <n v="35269"/>
    <s v="Sloan Lake"/>
    <n v="80204"/>
    <s v="Sloan Lake"/>
    <x v="1"/>
    <n v="2"/>
  </r>
  <r>
    <n v="2023"/>
    <n v="80204"/>
    <s v="Health Risk Behaviors"/>
    <x v="2"/>
    <s v="%"/>
    <s v="Crude prevalence"/>
    <n v="26.7"/>
    <n v="35269"/>
    <s v="Sloan Lake"/>
    <n v="80204"/>
    <s v="Sloan Lake"/>
    <x v="2"/>
    <n v="3"/>
  </r>
  <r>
    <n v="2023"/>
    <n v="80204"/>
    <s v="Health Risk Behaviors"/>
    <x v="2"/>
    <s v="%"/>
    <s v="Crude prevalence"/>
    <n v="26.7"/>
    <n v="35269"/>
    <s v="Villa Park"/>
    <n v="80204"/>
    <s v="Villa Park"/>
    <x v="3"/>
    <n v="2"/>
  </r>
  <r>
    <n v="2023"/>
    <n v="80204"/>
    <s v="Health Risk Behaviors"/>
    <x v="2"/>
    <s v="%"/>
    <s v="Crude prevalence"/>
    <n v="26.7"/>
    <n v="35269"/>
    <s v="Lincoln Park"/>
    <n v="80204"/>
    <s v="Lincoln Park"/>
    <x v="3"/>
    <n v="1"/>
  </r>
  <r>
    <n v="2023"/>
    <n v="80204"/>
    <s v="Health Risk Behaviors"/>
    <x v="2"/>
    <s v="%"/>
    <s v="Crude prevalence"/>
    <n v="26.7"/>
    <n v="35269"/>
    <s v="Auraria"/>
    <n v="80204"/>
    <s v="Auraria"/>
    <x v="3"/>
    <n v="1"/>
  </r>
  <r>
    <n v="2023"/>
    <n v="80204"/>
    <s v="Health Risk Behaviors"/>
    <x v="2"/>
    <s v="%"/>
    <s v="Crude prevalence"/>
    <n v="26.7"/>
    <n v="35269"/>
    <s v="West Colfax"/>
    <n v="80204"/>
    <s v="West Colfax"/>
    <x v="2"/>
    <n v="1"/>
  </r>
  <r>
    <n v="2023"/>
    <n v="80204"/>
    <s v="Health Outcomes"/>
    <x v="3"/>
    <s v="%"/>
    <s v="Crude prevalence"/>
    <n v="20.399999999999999"/>
    <n v="35269"/>
    <s v="Sloan Lake"/>
    <n v="80204"/>
    <s v="Sloan Lake"/>
    <x v="1"/>
    <n v="2"/>
  </r>
  <r>
    <n v="2023"/>
    <n v="80204"/>
    <s v="Health Outcomes"/>
    <x v="3"/>
    <s v="%"/>
    <s v="Crude prevalence"/>
    <n v="20.399999999999999"/>
    <n v="35269"/>
    <s v="Sloan Lake"/>
    <n v="80204"/>
    <s v="Sloan Lake"/>
    <x v="2"/>
    <n v="3"/>
  </r>
  <r>
    <n v="2023"/>
    <n v="80204"/>
    <s v="Health Outcomes"/>
    <x v="3"/>
    <s v="%"/>
    <s v="Crude prevalence"/>
    <n v="20.399999999999999"/>
    <n v="35269"/>
    <s v="Villa Park"/>
    <n v="80204"/>
    <s v="Villa Park"/>
    <x v="3"/>
    <n v="2"/>
  </r>
  <r>
    <n v="2023"/>
    <n v="80204"/>
    <s v="Health Outcomes"/>
    <x v="3"/>
    <s v="%"/>
    <s v="Crude prevalence"/>
    <n v="20.399999999999999"/>
    <n v="35269"/>
    <s v="Lincoln Park"/>
    <n v="80204"/>
    <s v="Lincoln Park"/>
    <x v="3"/>
    <n v="1"/>
  </r>
  <r>
    <n v="2023"/>
    <n v="80204"/>
    <s v="Health Outcomes"/>
    <x v="3"/>
    <s v="%"/>
    <s v="Crude prevalence"/>
    <n v="20.399999999999999"/>
    <n v="35269"/>
    <s v="Auraria"/>
    <n v="80204"/>
    <s v="Auraria"/>
    <x v="3"/>
    <n v="1"/>
  </r>
  <r>
    <n v="2023"/>
    <n v="80204"/>
    <s v="Health Outcomes"/>
    <x v="3"/>
    <s v="%"/>
    <s v="Crude prevalence"/>
    <n v="20.399999999999999"/>
    <n v="35269"/>
    <s v="West Colfax"/>
    <n v="80204"/>
    <s v="West Colfax"/>
    <x v="2"/>
    <n v="1"/>
  </r>
  <r>
    <n v="2023"/>
    <n v="80204"/>
    <s v="Prevention"/>
    <x v="4"/>
    <s v="%"/>
    <s v="Crude prevalence"/>
    <n v="60.6"/>
    <n v="35269"/>
    <s v="Sloan Lake"/>
    <n v="80204"/>
    <s v="Sloan Lake"/>
    <x v="1"/>
    <n v="2"/>
  </r>
  <r>
    <n v="2023"/>
    <n v="80204"/>
    <s v="Prevention"/>
    <x v="4"/>
    <s v="%"/>
    <s v="Crude prevalence"/>
    <n v="60.6"/>
    <n v="35269"/>
    <s v="Sloan Lake"/>
    <n v="80204"/>
    <s v="Sloan Lake"/>
    <x v="2"/>
    <n v="3"/>
  </r>
  <r>
    <n v="2023"/>
    <n v="80204"/>
    <s v="Prevention"/>
    <x v="4"/>
    <s v="%"/>
    <s v="Crude prevalence"/>
    <n v="60.6"/>
    <n v="35269"/>
    <s v="Villa Park"/>
    <n v="80204"/>
    <s v="Villa Park"/>
    <x v="3"/>
    <n v="2"/>
  </r>
  <r>
    <n v="2023"/>
    <n v="80204"/>
    <s v="Prevention"/>
    <x v="4"/>
    <s v="%"/>
    <s v="Crude prevalence"/>
    <n v="60.6"/>
    <n v="35269"/>
    <s v="Lincoln Park"/>
    <n v="80204"/>
    <s v="Lincoln Park"/>
    <x v="3"/>
    <n v="1"/>
  </r>
  <r>
    <n v="2023"/>
    <n v="80204"/>
    <s v="Prevention"/>
    <x v="4"/>
    <s v="%"/>
    <s v="Crude prevalence"/>
    <n v="60.6"/>
    <n v="35269"/>
    <s v="Auraria"/>
    <n v="80204"/>
    <s v="Auraria"/>
    <x v="3"/>
    <n v="1"/>
  </r>
  <r>
    <n v="2023"/>
    <n v="80204"/>
    <s v="Prevention"/>
    <x v="4"/>
    <s v="%"/>
    <s v="Crude prevalence"/>
    <n v="60.6"/>
    <n v="35269"/>
    <s v="West Colfax"/>
    <n v="80204"/>
    <s v="West Colfax"/>
    <x v="2"/>
    <n v="1"/>
  </r>
  <r>
    <n v="2023"/>
    <n v="80204"/>
    <s v="Health Outcomes"/>
    <x v="5"/>
    <s v="%"/>
    <s v="Crude prevalence"/>
    <n v="4.4000000000000004"/>
    <n v="35269"/>
    <s v="Sloan Lake"/>
    <n v="80204"/>
    <s v="Sloan Lake"/>
    <x v="1"/>
    <n v="2"/>
  </r>
  <r>
    <n v="2023"/>
    <n v="80204"/>
    <s v="Health Outcomes"/>
    <x v="5"/>
    <s v="%"/>
    <s v="Crude prevalence"/>
    <n v="4.4000000000000004"/>
    <n v="35269"/>
    <s v="Sloan Lake"/>
    <n v="80204"/>
    <s v="Sloan Lake"/>
    <x v="2"/>
    <n v="3"/>
  </r>
  <r>
    <n v="2023"/>
    <n v="80204"/>
    <s v="Health Outcomes"/>
    <x v="5"/>
    <s v="%"/>
    <s v="Crude prevalence"/>
    <n v="4.4000000000000004"/>
    <n v="35269"/>
    <s v="Villa Park"/>
    <n v="80204"/>
    <s v="Villa Park"/>
    <x v="3"/>
    <n v="2"/>
  </r>
  <r>
    <n v="2023"/>
    <n v="80204"/>
    <s v="Health Outcomes"/>
    <x v="5"/>
    <s v="%"/>
    <s v="Crude prevalence"/>
    <n v="4.4000000000000004"/>
    <n v="35269"/>
    <s v="Lincoln Park"/>
    <n v="80204"/>
    <s v="Lincoln Park"/>
    <x v="3"/>
    <n v="1"/>
  </r>
  <r>
    <n v="2023"/>
    <n v="80204"/>
    <s v="Health Outcomes"/>
    <x v="5"/>
    <s v="%"/>
    <s v="Crude prevalence"/>
    <n v="4.4000000000000004"/>
    <n v="35269"/>
    <s v="Auraria"/>
    <n v="80204"/>
    <s v="Auraria"/>
    <x v="3"/>
    <n v="1"/>
  </r>
  <r>
    <n v="2023"/>
    <n v="80204"/>
    <s v="Health Outcomes"/>
    <x v="5"/>
    <s v="%"/>
    <s v="Crude prevalence"/>
    <n v="4.4000000000000004"/>
    <n v="35269"/>
    <s v="West Colfax"/>
    <n v="80204"/>
    <s v="West Colfax"/>
    <x v="2"/>
    <n v="1"/>
  </r>
  <r>
    <n v="2023"/>
    <n v="80204"/>
    <s v="Health Outcomes"/>
    <x v="6"/>
    <s v="%"/>
    <s v="Crude prevalence"/>
    <n v="10.4"/>
    <n v="35269"/>
    <s v="Sloan Lake"/>
    <n v="80204"/>
    <s v="Sloan Lake"/>
    <x v="1"/>
    <n v="2"/>
  </r>
  <r>
    <n v="2023"/>
    <n v="80204"/>
    <s v="Health Outcomes"/>
    <x v="6"/>
    <s v="%"/>
    <s v="Crude prevalence"/>
    <n v="10.4"/>
    <n v="35269"/>
    <s v="Sloan Lake"/>
    <n v="80204"/>
    <s v="Sloan Lake"/>
    <x v="2"/>
    <n v="3"/>
  </r>
  <r>
    <n v="2023"/>
    <n v="80204"/>
    <s v="Health Outcomes"/>
    <x v="6"/>
    <s v="%"/>
    <s v="Crude prevalence"/>
    <n v="10.4"/>
    <n v="35269"/>
    <s v="Villa Park"/>
    <n v="80204"/>
    <s v="Villa Park"/>
    <x v="3"/>
    <n v="2"/>
  </r>
  <r>
    <n v="2023"/>
    <n v="80204"/>
    <s v="Health Outcomes"/>
    <x v="6"/>
    <s v="%"/>
    <s v="Crude prevalence"/>
    <n v="10.4"/>
    <n v="35269"/>
    <s v="Lincoln Park"/>
    <n v="80204"/>
    <s v="Lincoln Park"/>
    <x v="3"/>
    <n v="1"/>
  </r>
  <r>
    <n v="2023"/>
    <n v="80204"/>
    <s v="Health Outcomes"/>
    <x v="6"/>
    <s v="%"/>
    <s v="Crude prevalence"/>
    <n v="10.4"/>
    <n v="35269"/>
    <s v="Auraria"/>
    <n v="80204"/>
    <s v="Auraria"/>
    <x v="3"/>
    <n v="1"/>
  </r>
  <r>
    <n v="2023"/>
    <n v="80204"/>
    <s v="Health Outcomes"/>
    <x v="6"/>
    <s v="%"/>
    <s v="Crude prevalence"/>
    <n v="10.4"/>
    <n v="35269"/>
    <s v="West Colfax"/>
    <n v="80204"/>
    <s v="West Colfax"/>
    <x v="2"/>
    <n v="1"/>
  </r>
  <r>
    <n v="2023"/>
    <n v="80204"/>
    <s v="Health Outcomes"/>
    <x v="7"/>
    <s v="%"/>
    <s v="Crude prevalence"/>
    <n v="4"/>
    <n v="35269"/>
    <s v="Sloan Lake"/>
    <n v="80204"/>
    <s v="Sloan Lake"/>
    <x v="1"/>
    <n v="2"/>
  </r>
  <r>
    <n v="2023"/>
    <n v="80204"/>
    <s v="Health Outcomes"/>
    <x v="7"/>
    <s v="%"/>
    <s v="Crude prevalence"/>
    <n v="4"/>
    <n v="35269"/>
    <s v="Sloan Lake"/>
    <n v="80204"/>
    <s v="Sloan Lake"/>
    <x v="2"/>
    <n v="3"/>
  </r>
  <r>
    <n v="2023"/>
    <n v="80204"/>
    <s v="Health Outcomes"/>
    <x v="7"/>
    <s v="%"/>
    <s v="Crude prevalence"/>
    <n v="4"/>
    <n v="35269"/>
    <s v="Villa Park"/>
    <n v="80204"/>
    <s v="Villa Park"/>
    <x v="3"/>
    <n v="2"/>
  </r>
  <r>
    <n v="2023"/>
    <n v="80204"/>
    <s v="Health Outcomes"/>
    <x v="7"/>
    <s v="%"/>
    <s v="Crude prevalence"/>
    <n v="4"/>
    <n v="35269"/>
    <s v="Lincoln Park"/>
    <n v="80204"/>
    <s v="Lincoln Park"/>
    <x v="3"/>
    <n v="1"/>
  </r>
  <r>
    <n v="2023"/>
    <n v="80204"/>
    <s v="Health Outcomes"/>
    <x v="7"/>
    <s v="%"/>
    <s v="Crude prevalence"/>
    <n v="4"/>
    <n v="35269"/>
    <s v="Auraria"/>
    <n v="80204"/>
    <s v="Auraria"/>
    <x v="3"/>
    <n v="1"/>
  </r>
  <r>
    <n v="2023"/>
    <n v="80204"/>
    <s v="Health Outcomes"/>
    <x v="7"/>
    <s v="%"/>
    <s v="Crude prevalence"/>
    <n v="4"/>
    <n v="35269"/>
    <s v="West Colfax"/>
    <n v="80204"/>
    <s v="West Colfax"/>
    <x v="2"/>
    <n v="1"/>
  </r>
  <r>
    <n v="2023"/>
    <n v="80204"/>
    <s v="Prevention"/>
    <x v="8"/>
    <s v="%"/>
    <s v="Crude prevalence"/>
    <n v="66.5"/>
    <n v="35269"/>
    <s v="Sloan Lake"/>
    <n v="80204"/>
    <s v="Sloan Lake"/>
    <x v="1"/>
    <n v="2"/>
  </r>
  <r>
    <n v="2023"/>
    <n v="80204"/>
    <s v="Prevention"/>
    <x v="8"/>
    <s v="%"/>
    <s v="Crude prevalence"/>
    <n v="66.5"/>
    <n v="35269"/>
    <s v="Sloan Lake"/>
    <n v="80204"/>
    <s v="Sloan Lake"/>
    <x v="2"/>
    <n v="3"/>
  </r>
  <r>
    <n v="2023"/>
    <n v="80204"/>
    <s v="Prevention"/>
    <x v="8"/>
    <s v="%"/>
    <s v="Crude prevalence"/>
    <n v="66.5"/>
    <n v="35269"/>
    <s v="Villa Park"/>
    <n v="80204"/>
    <s v="Villa Park"/>
    <x v="3"/>
    <n v="2"/>
  </r>
  <r>
    <n v="2023"/>
    <n v="80204"/>
    <s v="Prevention"/>
    <x v="8"/>
    <s v="%"/>
    <s v="Crude prevalence"/>
    <n v="66.5"/>
    <n v="35269"/>
    <s v="Lincoln Park"/>
    <n v="80204"/>
    <s v="Lincoln Park"/>
    <x v="3"/>
    <n v="1"/>
  </r>
  <r>
    <n v="2023"/>
    <n v="80204"/>
    <s v="Prevention"/>
    <x v="8"/>
    <s v="%"/>
    <s v="Crude prevalence"/>
    <n v="66.5"/>
    <n v="35269"/>
    <s v="Auraria"/>
    <n v="80204"/>
    <s v="Auraria"/>
    <x v="3"/>
    <n v="1"/>
  </r>
  <r>
    <n v="2023"/>
    <n v="80204"/>
    <s v="Prevention"/>
    <x v="8"/>
    <s v="%"/>
    <s v="Crude prevalence"/>
    <n v="66.5"/>
    <n v="35269"/>
    <s v="West Colfax"/>
    <n v="80204"/>
    <s v="West Colfax"/>
    <x v="2"/>
    <n v="1"/>
  </r>
  <r>
    <n v="2023"/>
    <n v="80204"/>
    <s v="Prevention"/>
    <x v="9"/>
    <s v="%"/>
    <s v="Crude prevalence"/>
    <n v="79.7"/>
    <n v="35269"/>
    <s v="Sloan Lake"/>
    <n v="80204"/>
    <s v="Sloan Lake"/>
    <x v="1"/>
    <n v="2"/>
  </r>
  <r>
    <n v="2023"/>
    <n v="80204"/>
    <s v="Prevention"/>
    <x v="9"/>
    <s v="%"/>
    <s v="Crude prevalence"/>
    <n v="79.7"/>
    <n v="35269"/>
    <s v="Sloan Lake"/>
    <n v="80204"/>
    <s v="Sloan Lake"/>
    <x v="2"/>
    <n v="3"/>
  </r>
  <r>
    <n v="2023"/>
    <n v="80204"/>
    <s v="Prevention"/>
    <x v="9"/>
    <s v="%"/>
    <s v="Crude prevalence"/>
    <n v="79.7"/>
    <n v="35269"/>
    <s v="Villa Park"/>
    <n v="80204"/>
    <s v="Villa Park"/>
    <x v="3"/>
    <n v="2"/>
  </r>
  <r>
    <n v="2023"/>
    <n v="80204"/>
    <s v="Prevention"/>
    <x v="9"/>
    <s v="%"/>
    <s v="Crude prevalence"/>
    <n v="79.7"/>
    <n v="35269"/>
    <s v="Lincoln Park"/>
    <n v="80204"/>
    <s v="Lincoln Park"/>
    <x v="3"/>
    <n v="1"/>
  </r>
  <r>
    <n v="2023"/>
    <n v="80204"/>
    <s v="Prevention"/>
    <x v="9"/>
    <s v="%"/>
    <s v="Crude prevalence"/>
    <n v="79.7"/>
    <n v="35269"/>
    <s v="Auraria"/>
    <n v="80204"/>
    <s v="Auraria"/>
    <x v="3"/>
    <n v="1"/>
  </r>
  <r>
    <n v="2023"/>
    <n v="80204"/>
    <s v="Prevention"/>
    <x v="9"/>
    <s v="%"/>
    <s v="Crude prevalence"/>
    <n v="79.7"/>
    <n v="35269"/>
    <s v="West Colfax"/>
    <n v="80204"/>
    <s v="West Colfax"/>
    <x v="2"/>
    <n v="1"/>
  </r>
  <r>
    <n v="2023"/>
    <n v="80204"/>
    <s v="Disability"/>
    <x v="10"/>
    <s v="%"/>
    <s v="Crude prevalence"/>
    <n v="16.399999999999999"/>
    <n v="35269"/>
    <s v="Sloan Lake"/>
    <n v="80204"/>
    <s v="Sloan Lake"/>
    <x v="1"/>
    <n v="2"/>
  </r>
  <r>
    <n v="2023"/>
    <n v="80204"/>
    <s v="Disability"/>
    <x v="10"/>
    <s v="%"/>
    <s v="Crude prevalence"/>
    <n v="16.399999999999999"/>
    <n v="35269"/>
    <s v="Sloan Lake"/>
    <n v="80204"/>
    <s v="Sloan Lake"/>
    <x v="2"/>
    <n v="3"/>
  </r>
  <r>
    <n v="2023"/>
    <n v="80204"/>
    <s v="Disability"/>
    <x v="10"/>
    <s v="%"/>
    <s v="Crude prevalence"/>
    <n v="16.399999999999999"/>
    <n v="35269"/>
    <s v="Villa Park"/>
    <n v="80204"/>
    <s v="Villa Park"/>
    <x v="3"/>
    <n v="2"/>
  </r>
  <r>
    <n v="2023"/>
    <n v="80204"/>
    <s v="Disability"/>
    <x v="10"/>
    <s v="%"/>
    <s v="Crude prevalence"/>
    <n v="16.399999999999999"/>
    <n v="35269"/>
    <s v="Lincoln Park"/>
    <n v="80204"/>
    <s v="Lincoln Park"/>
    <x v="3"/>
    <n v="1"/>
  </r>
  <r>
    <n v="2023"/>
    <n v="80204"/>
    <s v="Disability"/>
    <x v="10"/>
    <s v="%"/>
    <s v="Crude prevalence"/>
    <n v="16.399999999999999"/>
    <n v="35269"/>
    <s v="Auraria"/>
    <n v="80204"/>
    <s v="Auraria"/>
    <x v="3"/>
    <n v="1"/>
  </r>
  <r>
    <n v="2023"/>
    <n v="80204"/>
    <s v="Disability"/>
    <x v="10"/>
    <s v="%"/>
    <s v="Crude prevalence"/>
    <n v="16.399999999999999"/>
    <n v="35269"/>
    <s v="West Colfax"/>
    <n v="80204"/>
    <s v="West Colfax"/>
    <x v="2"/>
    <n v="1"/>
  </r>
  <r>
    <n v="2022"/>
    <n v="80204"/>
    <s v="Prevention"/>
    <x v="11"/>
    <s v="%"/>
    <s v="Crude prevalence"/>
    <n v="58"/>
    <n v="35269"/>
    <s v="Sloan Lake"/>
    <n v="80204"/>
    <s v="Sloan Lake"/>
    <x v="1"/>
    <n v="2"/>
  </r>
  <r>
    <n v="2022"/>
    <n v="80204"/>
    <s v="Prevention"/>
    <x v="11"/>
    <s v="%"/>
    <s v="Crude prevalence"/>
    <n v="58"/>
    <n v="35269"/>
    <s v="Sloan Lake"/>
    <n v="80204"/>
    <s v="Sloan Lake"/>
    <x v="2"/>
    <n v="3"/>
  </r>
  <r>
    <n v="2022"/>
    <n v="80204"/>
    <s v="Prevention"/>
    <x v="11"/>
    <s v="%"/>
    <s v="Crude prevalence"/>
    <n v="58"/>
    <n v="35269"/>
    <s v="Villa Park"/>
    <n v="80204"/>
    <s v="Villa Park"/>
    <x v="3"/>
    <n v="2"/>
  </r>
  <r>
    <n v="2022"/>
    <n v="80204"/>
    <s v="Prevention"/>
    <x v="11"/>
    <s v="%"/>
    <s v="Crude prevalence"/>
    <n v="58"/>
    <n v="35269"/>
    <s v="Lincoln Park"/>
    <n v="80204"/>
    <s v="Lincoln Park"/>
    <x v="3"/>
    <n v="1"/>
  </r>
  <r>
    <n v="2022"/>
    <n v="80204"/>
    <s v="Prevention"/>
    <x v="11"/>
    <s v="%"/>
    <s v="Crude prevalence"/>
    <n v="58"/>
    <n v="35269"/>
    <s v="Auraria"/>
    <n v="80204"/>
    <s v="Auraria"/>
    <x v="3"/>
    <n v="1"/>
  </r>
  <r>
    <n v="2022"/>
    <n v="80204"/>
    <s v="Prevention"/>
    <x v="11"/>
    <s v="%"/>
    <s v="Crude prevalence"/>
    <n v="58"/>
    <n v="35269"/>
    <s v="West Colfax"/>
    <n v="80204"/>
    <s v="West Colfax"/>
    <x v="2"/>
    <n v="1"/>
  </r>
  <r>
    <n v="2023"/>
    <n v="80204"/>
    <s v="Health Outcomes"/>
    <x v="12"/>
    <s v="%"/>
    <s v="Crude prevalence"/>
    <n v="4.4000000000000004"/>
    <n v="35269"/>
    <s v="Sloan Lake"/>
    <n v="80204"/>
    <s v="Sloan Lake"/>
    <x v="1"/>
    <n v="2"/>
  </r>
  <r>
    <n v="2023"/>
    <n v="80204"/>
    <s v="Health Outcomes"/>
    <x v="12"/>
    <s v="%"/>
    <s v="Crude prevalence"/>
    <n v="4.4000000000000004"/>
    <n v="35269"/>
    <s v="Sloan Lake"/>
    <n v="80204"/>
    <s v="Sloan Lake"/>
    <x v="2"/>
    <n v="3"/>
  </r>
  <r>
    <n v="2023"/>
    <n v="80204"/>
    <s v="Health Outcomes"/>
    <x v="12"/>
    <s v="%"/>
    <s v="Crude prevalence"/>
    <n v="4.4000000000000004"/>
    <n v="35269"/>
    <s v="Villa Park"/>
    <n v="80204"/>
    <s v="Villa Park"/>
    <x v="3"/>
    <n v="2"/>
  </r>
  <r>
    <n v="2023"/>
    <n v="80204"/>
    <s v="Health Outcomes"/>
    <x v="12"/>
    <s v="%"/>
    <s v="Crude prevalence"/>
    <n v="4.4000000000000004"/>
    <n v="35269"/>
    <s v="Lincoln Park"/>
    <n v="80204"/>
    <s v="Lincoln Park"/>
    <x v="3"/>
    <n v="1"/>
  </r>
  <r>
    <n v="2023"/>
    <n v="80204"/>
    <s v="Health Outcomes"/>
    <x v="12"/>
    <s v="%"/>
    <s v="Crude prevalence"/>
    <n v="4.4000000000000004"/>
    <n v="35269"/>
    <s v="Auraria"/>
    <n v="80204"/>
    <s v="Auraria"/>
    <x v="3"/>
    <n v="1"/>
  </r>
  <r>
    <n v="2023"/>
    <n v="80204"/>
    <s v="Health Outcomes"/>
    <x v="12"/>
    <s v="%"/>
    <s v="Crude prevalence"/>
    <n v="4.4000000000000004"/>
    <n v="35269"/>
    <s v="West Colfax"/>
    <n v="80204"/>
    <s v="West Colfax"/>
    <x v="2"/>
    <n v="1"/>
  </r>
  <r>
    <n v="2023"/>
    <n v="80204"/>
    <s v="Health Risk Behaviors"/>
    <x v="13"/>
    <s v="%"/>
    <s v="Crude prevalence"/>
    <n v="12.2"/>
    <n v="35269"/>
    <s v="Sloan Lake"/>
    <n v="80204"/>
    <s v="Sloan Lake"/>
    <x v="1"/>
    <n v="2"/>
  </r>
  <r>
    <n v="2023"/>
    <n v="80204"/>
    <s v="Health Risk Behaviors"/>
    <x v="13"/>
    <s v="%"/>
    <s v="Crude prevalence"/>
    <n v="12.2"/>
    <n v="35269"/>
    <s v="Sloan Lake"/>
    <n v="80204"/>
    <s v="Sloan Lake"/>
    <x v="2"/>
    <n v="3"/>
  </r>
  <r>
    <n v="2023"/>
    <n v="80204"/>
    <s v="Health Risk Behaviors"/>
    <x v="13"/>
    <s v="%"/>
    <s v="Crude prevalence"/>
    <n v="12.2"/>
    <n v="35269"/>
    <s v="Villa Park"/>
    <n v="80204"/>
    <s v="Villa Park"/>
    <x v="3"/>
    <n v="2"/>
  </r>
  <r>
    <n v="2023"/>
    <n v="80204"/>
    <s v="Health Risk Behaviors"/>
    <x v="13"/>
    <s v="%"/>
    <s v="Crude prevalence"/>
    <n v="12.2"/>
    <n v="35269"/>
    <s v="Lincoln Park"/>
    <n v="80204"/>
    <s v="Lincoln Park"/>
    <x v="3"/>
    <n v="1"/>
  </r>
  <r>
    <n v="2023"/>
    <n v="80204"/>
    <s v="Health Risk Behaviors"/>
    <x v="13"/>
    <s v="%"/>
    <s v="Crude prevalence"/>
    <n v="12.2"/>
    <n v="35269"/>
    <s v="Auraria"/>
    <n v="80204"/>
    <s v="Auraria"/>
    <x v="3"/>
    <n v="1"/>
  </r>
  <r>
    <n v="2023"/>
    <n v="80204"/>
    <s v="Health Risk Behaviors"/>
    <x v="13"/>
    <s v="%"/>
    <s v="Crude prevalence"/>
    <n v="12.2"/>
    <n v="35269"/>
    <s v="West Colfax"/>
    <n v="80204"/>
    <s v="West Colfax"/>
    <x v="2"/>
    <n v="1"/>
  </r>
  <r>
    <n v="2022"/>
    <n v="80204"/>
    <s v="Prevention"/>
    <x v="14"/>
    <s v="%"/>
    <s v="Crude prevalence"/>
    <n v="59.1"/>
    <n v="35269"/>
    <s v="Sloan Lake"/>
    <n v="80204"/>
    <s v="Sloan Lake"/>
    <x v="1"/>
    <n v="2"/>
  </r>
  <r>
    <n v="2022"/>
    <n v="80204"/>
    <s v="Prevention"/>
    <x v="14"/>
    <s v="%"/>
    <s v="Crude prevalence"/>
    <n v="59.1"/>
    <n v="35269"/>
    <s v="Sloan Lake"/>
    <n v="80204"/>
    <s v="Sloan Lake"/>
    <x v="2"/>
    <n v="3"/>
  </r>
  <r>
    <n v="2022"/>
    <n v="80204"/>
    <s v="Prevention"/>
    <x v="14"/>
    <s v="%"/>
    <s v="Crude prevalence"/>
    <n v="59.1"/>
    <n v="35269"/>
    <s v="Villa Park"/>
    <n v="80204"/>
    <s v="Villa Park"/>
    <x v="3"/>
    <n v="2"/>
  </r>
  <r>
    <n v="2022"/>
    <n v="80204"/>
    <s v="Prevention"/>
    <x v="14"/>
    <s v="%"/>
    <s v="Crude prevalence"/>
    <n v="59.1"/>
    <n v="35269"/>
    <s v="Lincoln Park"/>
    <n v="80204"/>
    <s v="Lincoln Park"/>
    <x v="3"/>
    <n v="1"/>
  </r>
  <r>
    <n v="2022"/>
    <n v="80204"/>
    <s v="Prevention"/>
    <x v="14"/>
    <s v="%"/>
    <s v="Crude prevalence"/>
    <n v="59.1"/>
    <n v="35269"/>
    <s v="Auraria"/>
    <n v="80204"/>
    <s v="Auraria"/>
    <x v="3"/>
    <n v="1"/>
  </r>
  <r>
    <n v="2022"/>
    <n v="80204"/>
    <s v="Prevention"/>
    <x v="14"/>
    <s v="%"/>
    <s v="Crude prevalence"/>
    <n v="59.1"/>
    <n v="35269"/>
    <s v="West Colfax"/>
    <n v="80204"/>
    <s v="West Colfax"/>
    <x v="2"/>
    <n v="1"/>
  </r>
  <r>
    <n v="2023"/>
    <n v="80204"/>
    <s v="Health Outcomes"/>
    <x v="15"/>
    <s v="%"/>
    <s v="Crude prevalence"/>
    <n v="23.6"/>
    <n v="35269"/>
    <s v="Sloan Lake"/>
    <n v="80204"/>
    <s v="Sloan Lake"/>
    <x v="1"/>
    <n v="2"/>
  </r>
  <r>
    <n v="2023"/>
    <n v="80204"/>
    <s v="Health Outcomes"/>
    <x v="15"/>
    <s v="%"/>
    <s v="Crude prevalence"/>
    <n v="23.6"/>
    <n v="35269"/>
    <s v="Sloan Lake"/>
    <n v="80204"/>
    <s v="Sloan Lake"/>
    <x v="2"/>
    <n v="3"/>
  </r>
  <r>
    <n v="2023"/>
    <n v="80204"/>
    <s v="Health Outcomes"/>
    <x v="15"/>
    <s v="%"/>
    <s v="Crude prevalence"/>
    <n v="23.6"/>
    <n v="35269"/>
    <s v="Villa Park"/>
    <n v="80204"/>
    <s v="Villa Park"/>
    <x v="3"/>
    <n v="2"/>
  </r>
  <r>
    <n v="2023"/>
    <n v="80204"/>
    <s v="Health Outcomes"/>
    <x v="15"/>
    <s v="%"/>
    <s v="Crude prevalence"/>
    <n v="23.6"/>
    <n v="35269"/>
    <s v="Lincoln Park"/>
    <n v="80204"/>
    <s v="Lincoln Park"/>
    <x v="3"/>
    <n v="1"/>
  </r>
  <r>
    <n v="2023"/>
    <n v="80204"/>
    <s v="Health Outcomes"/>
    <x v="15"/>
    <s v="%"/>
    <s v="Crude prevalence"/>
    <n v="23.6"/>
    <n v="35269"/>
    <s v="Auraria"/>
    <n v="80204"/>
    <s v="Auraria"/>
    <x v="3"/>
    <n v="1"/>
  </r>
  <r>
    <n v="2023"/>
    <n v="80204"/>
    <s v="Health Outcomes"/>
    <x v="15"/>
    <s v="%"/>
    <s v="Crude prevalence"/>
    <n v="23.6"/>
    <n v="35269"/>
    <s v="West Colfax"/>
    <n v="80204"/>
    <s v="West Colfax"/>
    <x v="2"/>
    <n v="1"/>
  </r>
  <r>
    <n v="2023"/>
    <n v="80204"/>
    <s v="Health Outcomes"/>
    <x v="16"/>
    <s v="%"/>
    <s v="Crude prevalence"/>
    <n v="7.6"/>
    <n v="35269"/>
    <s v="Sloan Lake"/>
    <n v="80204"/>
    <s v="Sloan Lake"/>
    <x v="1"/>
    <n v="2"/>
  </r>
  <r>
    <n v="2023"/>
    <n v="80204"/>
    <s v="Health Outcomes"/>
    <x v="16"/>
    <s v="%"/>
    <s v="Crude prevalence"/>
    <n v="7.6"/>
    <n v="35269"/>
    <s v="Sloan Lake"/>
    <n v="80204"/>
    <s v="Sloan Lake"/>
    <x v="2"/>
    <n v="3"/>
  </r>
  <r>
    <n v="2023"/>
    <n v="80204"/>
    <s v="Health Outcomes"/>
    <x v="16"/>
    <s v="%"/>
    <s v="Crude prevalence"/>
    <n v="7.6"/>
    <n v="35269"/>
    <s v="Villa Park"/>
    <n v="80204"/>
    <s v="Villa Park"/>
    <x v="3"/>
    <n v="2"/>
  </r>
  <r>
    <n v="2023"/>
    <n v="80204"/>
    <s v="Health Outcomes"/>
    <x v="16"/>
    <s v="%"/>
    <s v="Crude prevalence"/>
    <n v="7.6"/>
    <n v="35269"/>
    <s v="Lincoln Park"/>
    <n v="80204"/>
    <s v="Lincoln Park"/>
    <x v="3"/>
    <n v="1"/>
  </r>
  <r>
    <n v="2023"/>
    <n v="80204"/>
    <s v="Health Outcomes"/>
    <x v="16"/>
    <s v="%"/>
    <s v="Crude prevalence"/>
    <n v="7.6"/>
    <n v="35269"/>
    <s v="Auraria"/>
    <n v="80204"/>
    <s v="Auraria"/>
    <x v="3"/>
    <n v="1"/>
  </r>
  <r>
    <n v="2023"/>
    <n v="80204"/>
    <s v="Health Outcomes"/>
    <x v="16"/>
    <s v="%"/>
    <s v="Crude prevalence"/>
    <n v="7.6"/>
    <n v="35269"/>
    <s v="West Colfax"/>
    <n v="80204"/>
    <s v="West Colfax"/>
    <x v="2"/>
    <n v="1"/>
  </r>
  <r>
    <n v="2023"/>
    <n v="80204"/>
    <s v="Disability"/>
    <x v="17"/>
    <s v="%"/>
    <s v="Crude prevalence"/>
    <n v="28"/>
    <n v="35269"/>
    <s v="Sloan Lake"/>
    <n v="80204"/>
    <s v="Sloan Lake"/>
    <x v="1"/>
    <n v="2"/>
  </r>
  <r>
    <n v="2023"/>
    <n v="80204"/>
    <s v="Disability"/>
    <x v="17"/>
    <s v="%"/>
    <s v="Crude prevalence"/>
    <n v="28"/>
    <n v="35269"/>
    <s v="Sloan Lake"/>
    <n v="80204"/>
    <s v="Sloan Lake"/>
    <x v="2"/>
    <n v="3"/>
  </r>
  <r>
    <n v="2023"/>
    <n v="80204"/>
    <s v="Disability"/>
    <x v="17"/>
    <s v="%"/>
    <s v="Crude prevalence"/>
    <n v="28"/>
    <n v="35269"/>
    <s v="Villa Park"/>
    <n v="80204"/>
    <s v="Villa Park"/>
    <x v="3"/>
    <n v="2"/>
  </r>
  <r>
    <n v="2023"/>
    <n v="80204"/>
    <s v="Disability"/>
    <x v="17"/>
    <s v="%"/>
    <s v="Crude prevalence"/>
    <n v="28"/>
    <n v="35269"/>
    <s v="Lincoln Park"/>
    <n v="80204"/>
    <s v="Lincoln Park"/>
    <x v="3"/>
    <n v="1"/>
  </r>
  <r>
    <n v="2023"/>
    <n v="80204"/>
    <s v="Disability"/>
    <x v="17"/>
    <s v="%"/>
    <s v="Crude prevalence"/>
    <n v="28"/>
    <n v="35269"/>
    <s v="Auraria"/>
    <n v="80204"/>
    <s v="Auraria"/>
    <x v="3"/>
    <n v="1"/>
  </r>
  <r>
    <n v="2023"/>
    <n v="80204"/>
    <s v="Disability"/>
    <x v="17"/>
    <s v="%"/>
    <s v="Crude prevalence"/>
    <n v="28"/>
    <n v="35269"/>
    <s v="West Colfax"/>
    <n v="80204"/>
    <s v="West Colfax"/>
    <x v="2"/>
    <n v="1"/>
  </r>
  <r>
    <n v="2023"/>
    <n v="80204"/>
    <s v="Health Status"/>
    <x v="18"/>
    <s v="%"/>
    <s v="Crude prevalence"/>
    <n v="17.7"/>
    <n v="35269"/>
    <s v="Sloan Lake"/>
    <n v="80204"/>
    <s v="Sloan Lake"/>
    <x v="1"/>
    <n v="2"/>
  </r>
  <r>
    <n v="2023"/>
    <n v="80204"/>
    <s v="Health Status"/>
    <x v="18"/>
    <s v="%"/>
    <s v="Crude prevalence"/>
    <n v="17.7"/>
    <n v="35269"/>
    <s v="Sloan Lake"/>
    <n v="80204"/>
    <s v="Sloan Lake"/>
    <x v="2"/>
    <n v="3"/>
  </r>
  <r>
    <n v="2023"/>
    <n v="80204"/>
    <s v="Health Status"/>
    <x v="18"/>
    <s v="%"/>
    <s v="Crude prevalence"/>
    <n v="17.7"/>
    <n v="35269"/>
    <s v="Villa Park"/>
    <n v="80204"/>
    <s v="Villa Park"/>
    <x v="3"/>
    <n v="2"/>
  </r>
  <r>
    <n v="2023"/>
    <n v="80204"/>
    <s v="Health Status"/>
    <x v="18"/>
    <s v="%"/>
    <s v="Crude prevalence"/>
    <n v="17.7"/>
    <n v="35269"/>
    <s v="Lincoln Park"/>
    <n v="80204"/>
    <s v="Lincoln Park"/>
    <x v="3"/>
    <n v="1"/>
  </r>
  <r>
    <n v="2023"/>
    <n v="80204"/>
    <s v="Health Status"/>
    <x v="18"/>
    <s v="%"/>
    <s v="Crude prevalence"/>
    <n v="17.7"/>
    <n v="35269"/>
    <s v="Auraria"/>
    <n v="80204"/>
    <s v="Auraria"/>
    <x v="3"/>
    <n v="1"/>
  </r>
  <r>
    <n v="2023"/>
    <n v="80204"/>
    <s v="Health Status"/>
    <x v="18"/>
    <s v="%"/>
    <s v="Crude prevalence"/>
    <n v="17.7"/>
    <n v="35269"/>
    <s v="West Colfax"/>
    <n v="80204"/>
    <s v="West Colfax"/>
    <x v="2"/>
    <n v="1"/>
  </r>
  <r>
    <n v="2023"/>
    <n v="80204"/>
    <s v="Disability"/>
    <x v="19"/>
    <s v="%"/>
    <s v="Crude prevalence"/>
    <n v="5.2"/>
    <n v="35269"/>
    <s v="Sloan Lake"/>
    <n v="80204"/>
    <s v="Sloan Lake"/>
    <x v="1"/>
    <n v="2"/>
  </r>
  <r>
    <n v="2023"/>
    <n v="80204"/>
    <s v="Disability"/>
    <x v="19"/>
    <s v="%"/>
    <s v="Crude prevalence"/>
    <n v="5.2"/>
    <n v="35269"/>
    <s v="Sloan Lake"/>
    <n v="80204"/>
    <s v="Sloan Lake"/>
    <x v="2"/>
    <n v="3"/>
  </r>
  <r>
    <n v="2023"/>
    <n v="80204"/>
    <s v="Disability"/>
    <x v="19"/>
    <s v="%"/>
    <s v="Crude prevalence"/>
    <n v="5.2"/>
    <n v="35269"/>
    <s v="Villa Park"/>
    <n v="80204"/>
    <s v="Villa Park"/>
    <x v="3"/>
    <n v="2"/>
  </r>
  <r>
    <n v="2023"/>
    <n v="80204"/>
    <s v="Disability"/>
    <x v="19"/>
    <s v="%"/>
    <s v="Crude prevalence"/>
    <n v="5.2"/>
    <n v="35269"/>
    <s v="Lincoln Park"/>
    <n v="80204"/>
    <s v="Lincoln Park"/>
    <x v="3"/>
    <n v="1"/>
  </r>
  <r>
    <n v="2023"/>
    <n v="80204"/>
    <s v="Disability"/>
    <x v="19"/>
    <s v="%"/>
    <s v="Crude prevalence"/>
    <n v="5.2"/>
    <n v="35269"/>
    <s v="Auraria"/>
    <n v="80204"/>
    <s v="Auraria"/>
    <x v="3"/>
    <n v="1"/>
  </r>
  <r>
    <n v="2023"/>
    <n v="80204"/>
    <s v="Disability"/>
    <x v="19"/>
    <s v="%"/>
    <s v="Crude prevalence"/>
    <n v="5.2"/>
    <n v="35269"/>
    <s v="West Colfax"/>
    <n v="80204"/>
    <s v="West Colfax"/>
    <x v="2"/>
    <n v="1"/>
  </r>
  <r>
    <n v="2023"/>
    <n v="80204"/>
    <s v="Health Outcomes"/>
    <x v="20"/>
    <s v="%"/>
    <s v="Crude prevalence"/>
    <n v="26.3"/>
    <n v="35269"/>
    <s v="Sloan Lake"/>
    <n v="80204"/>
    <s v="Sloan Lake"/>
    <x v="1"/>
    <n v="2"/>
  </r>
  <r>
    <n v="2023"/>
    <n v="80204"/>
    <s v="Health Outcomes"/>
    <x v="20"/>
    <s v="%"/>
    <s v="Crude prevalence"/>
    <n v="26.3"/>
    <n v="35269"/>
    <s v="Sloan Lake"/>
    <n v="80204"/>
    <s v="Sloan Lake"/>
    <x v="2"/>
    <n v="3"/>
  </r>
  <r>
    <n v="2023"/>
    <n v="80204"/>
    <s v="Health Outcomes"/>
    <x v="20"/>
    <s v="%"/>
    <s v="Crude prevalence"/>
    <n v="26.3"/>
    <n v="35269"/>
    <s v="Villa Park"/>
    <n v="80204"/>
    <s v="Villa Park"/>
    <x v="3"/>
    <n v="2"/>
  </r>
  <r>
    <n v="2023"/>
    <n v="80204"/>
    <s v="Health Outcomes"/>
    <x v="20"/>
    <s v="%"/>
    <s v="Crude prevalence"/>
    <n v="26.3"/>
    <n v="35269"/>
    <s v="Lincoln Park"/>
    <n v="80204"/>
    <s v="Lincoln Park"/>
    <x v="3"/>
    <n v="1"/>
  </r>
  <r>
    <n v="2023"/>
    <n v="80204"/>
    <s v="Health Outcomes"/>
    <x v="20"/>
    <s v="%"/>
    <s v="Crude prevalence"/>
    <n v="26.3"/>
    <n v="35269"/>
    <s v="Auraria"/>
    <n v="80204"/>
    <s v="Auraria"/>
    <x v="3"/>
    <n v="1"/>
  </r>
  <r>
    <n v="2023"/>
    <n v="80204"/>
    <s v="Health Outcomes"/>
    <x v="20"/>
    <s v="%"/>
    <s v="Crude prevalence"/>
    <n v="26.3"/>
    <n v="35269"/>
    <s v="West Colfax"/>
    <n v="80204"/>
    <s v="West Colfax"/>
    <x v="2"/>
    <n v="1"/>
  </r>
  <r>
    <n v="2023"/>
    <n v="80204"/>
    <s v="Disability"/>
    <x v="21"/>
    <s v="%"/>
    <s v="Crude prevalence"/>
    <n v="7.8"/>
    <n v="35269"/>
    <s v="Sloan Lake"/>
    <n v="80204"/>
    <s v="Sloan Lake"/>
    <x v="1"/>
    <n v="2"/>
  </r>
  <r>
    <n v="2023"/>
    <n v="80204"/>
    <s v="Disability"/>
    <x v="21"/>
    <s v="%"/>
    <s v="Crude prevalence"/>
    <n v="7.8"/>
    <n v="35269"/>
    <s v="Sloan Lake"/>
    <n v="80204"/>
    <s v="Sloan Lake"/>
    <x v="2"/>
    <n v="3"/>
  </r>
  <r>
    <n v="2023"/>
    <n v="80204"/>
    <s v="Disability"/>
    <x v="21"/>
    <s v="%"/>
    <s v="Crude prevalence"/>
    <n v="7.8"/>
    <n v="35269"/>
    <s v="Villa Park"/>
    <n v="80204"/>
    <s v="Villa Park"/>
    <x v="3"/>
    <n v="2"/>
  </r>
  <r>
    <n v="2023"/>
    <n v="80204"/>
    <s v="Disability"/>
    <x v="21"/>
    <s v="%"/>
    <s v="Crude prevalence"/>
    <n v="7.8"/>
    <n v="35269"/>
    <s v="Lincoln Park"/>
    <n v="80204"/>
    <s v="Lincoln Park"/>
    <x v="3"/>
    <n v="1"/>
  </r>
  <r>
    <n v="2023"/>
    <n v="80204"/>
    <s v="Disability"/>
    <x v="21"/>
    <s v="%"/>
    <s v="Crude prevalence"/>
    <n v="7.8"/>
    <n v="35269"/>
    <s v="Auraria"/>
    <n v="80204"/>
    <s v="Auraria"/>
    <x v="3"/>
    <n v="1"/>
  </r>
  <r>
    <n v="2023"/>
    <n v="80204"/>
    <s v="Disability"/>
    <x v="21"/>
    <s v="%"/>
    <s v="Crude prevalence"/>
    <n v="7.8"/>
    <n v="35269"/>
    <s v="West Colfax"/>
    <n v="80204"/>
    <s v="West Colfax"/>
    <x v="2"/>
    <n v="1"/>
  </r>
  <r>
    <n v="2023"/>
    <n v="80204"/>
    <s v="Health Risk Behaviors"/>
    <x v="22"/>
    <s v="%"/>
    <s v="Crude prevalence"/>
    <n v="20.3"/>
    <n v="35269"/>
    <s v="Sloan Lake"/>
    <n v="80204"/>
    <s v="Sloan Lake"/>
    <x v="1"/>
    <n v="2"/>
  </r>
  <r>
    <n v="2023"/>
    <n v="80204"/>
    <s v="Health Risk Behaviors"/>
    <x v="22"/>
    <s v="%"/>
    <s v="Crude prevalence"/>
    <n v="20.3"/>
    <n v="35269"/>
    <s v="Sloan Lake"/>
    <n v="80204"/>
    <s v="Sloan Lake"/>
    <x v="2"/>
    <n v="3"/>
  </r>
  <r>
    <n v="2023"/>
    <n v="80204"/>
    <s v="Health Risk Behaviors"/>
    <x v="22"/>
    <s v="%"/>
    <s v="Crude prevalence"/>
    <n v="20.3"/>
    <n v="35269"/>
    <s v="Villa Park"/>
    <n v="80204"/>
    <s v="Villa Park"/>
    <x v="3"/>
    <n v="2"/>
  </r>
  <r>
    <n v="2023"/>
    <n v="80204"/>
    <s v="Health Risk Behaviors"/>
    <x v="22"/>
    <s v="%"/>
    <s v="Crude prevalence"/>
    <n v="20.3"/>
    <n v="35269"/>
    <s v="Lincoln Park"/>
    <n v="80204"/>
    <s v="Lincoln Park"/>
    <x v="3"/>
    <n v="1"/>
  </r>
  <r>
    <n v="2023"/>
    <n v="80204"/>
    <s v="Health Risk Behaviors"/>
    <x v="22"/>
    <s v="%"/>
    <s v="Crude prevalence"/>
    <n v="20.3"/>
    <n v="35269"/>
    <s v="Auraria"/>
    <n v="80204"/>
    <s v="Auraria"/>
    <x v="3"/>
    <n v="1"/>
  </r>
  <r>
    <n v="2023"/>
    <n v="80204"/>
    <s v="Health Risk Behaviors"/>
    <x v="22"/>
    <s v="%"/>
    <s v="Crude prevalence"/>
    <n v="20.3"/>
    <n v="35269"/>
    <s v="West Colfax"/>
    <n v="80204"/>
    <s v="West Colfax"/>
    <x v="2"/>
    <n v="1"/>
  </r>
  <r>
    <n v="2022"/>
    <n v="80204"/>
    <s v="Prevention"/>
    <x v="23"/>
    <s v="%"/>
    <s v="Crude prevalence"/>
    <n v="69.5"/>
    <n v="35269"/>
    <s v="Sloan Lake"/>
    <n v="80204"/>
    <s v="Sloan Lake"/>
    <x v="1"/>
    <n v="2"/>
  </r>
  <r>
    <n v="2022"/>
    <n v="80204"/>
    <s v="Prevention"/>
    <x v="23"/>
    <s v="%"/>
    <s v="Crude prevalence"/>
    <n v="69.5"/>
    <n v="35269"/>
    <s v="Sloan Lake"/>
    <n v="80204"/>
    <s v="Sloan Lake"/>
    <x v="2"/>
    <n v="3"/>
  </r>
  <r>
    <n v="2022"/>
    <n v="80204"/>
    <s v="Prevention"/>
    <x v="23"/>
    <s v="%"/>
    <s v="Crude prevalence"/>
    <n v="69.5"/>
    <n v="35269"/>
    <s v="Villa Park"/>
    <n v="80204"/>
    <s v="Villa Park"/>
    <x v="3"/>
    <n v="2"/>
  </r>
  <r>
    <n v="2022"/>
    <n v="80204"/>
    <s v="Prevention"/>
    <x v="23"/>
    <s v="%"/>
    <s v="Crude prevalence"/>
    <n v="69.5"/>
    <n v="35269"/>
    <s v="Lincoln Park"/>
    <n v="80204"/>
    <s v="Lincoln Park"/>
    <x v="3"/>
    <n v="1"/>
  </r>
  <r>
    <n v="2022"/>
    <n v="80204"/>
    <s v="Prevention"/>
    <x v="23"/>
    <s v="%"/>
    <s v="Crude prevalence"/>
    <n v="69.5"/>
    <n v="35269"/>
    <s v="Auraria"/>
    <n v="80204"/>
    <s v="Auraria"/>
    <x v="3"/>
    <n v="1"/>
  </r>
  <r>
    <n v="2022"/>
    <n v="80204"/>
    <s v="Prevention"/>
    <x v="23"/>
    <s v="%"/>
    <s v="Crude prevalence"/>
    <n v="69.5"/>
    <n v="35269"/>
    <s v="West Colfax"/>
    <n v="80204"/>
    <s v="West Colfax"/>
    <x v="2"/>
    <n v="1"/>
  </r>
  <r>
    <n v="2023"/>
    <n v="80204"/>
    <s v="Health Status"/>
    <x v="24"/>
    <s v="%"/>
    <s v="Crude prevalence"/>
    <n v="17.100000000000001"/>
    <n v="35269"/>
    <s v="Sloan Lake"/>
    <n v="80204"/>
    <s v="Sloan Lake"/>
    <x v="1"/>
    <n v="2"/>
  </r>
  <r>
    <n v="2023"/>
    <n v="80204"/>
    <s v="Health Status"/>
    <x v="24"/>
    <s v="%"/>
    <s v="Crude prevalence"/>
    <n v="17.100000000000001"/>
    <n v="35269"/>
    <s v="Sloan Lake"/>
    <n v="80204"/>
    <s v="Sloan Lake"/>
    <x v="2"/>
    <n v="3"/>
  </r>
  <r>
    <n v="2023"/>
    <n v="80204"/>
    <s v="Health Status"/>
    <x v="24"/>
    <s v="%"/>
    <s v="Crude prevalence"/>
    <n v="17.100000000000001"/>
    <n v="35269"/>
    <s v="Villa Park"/>
    <n v="80204"/>
    <s v="Villa Park"/>
    <x v="3"/>
    <n v="2"/>
  </r>
  <r>
    <n v="2023"/>
    <n v="80204"/>
    <s v="Health Status"/>
    <x v="24"/>
    <s v="%"/>
    <s v="Crude prevalence"/>
    <n v="17.100000000000001"/>
    <n v="35269"/>
    <s v="Lincoln Park"/>
    <n v="80204"/>
    <s v="Lincoln Park"/>
    <x v="3"/>
    <n v="1"/>
  </r>
  <r>
    <n v="2023"/>
    <n v="80204"/>
    <s v="Health Status"/>
    <x v="24"/>
    <s v="%"/>
    <s v="Crude prevalence"/>
    <n v="17.100000000000001"/>
    <n v="35269"/>
    <s v="Auraria"/>
    <n v="80204"/>
    <s v="Auraria"/>
    <x v="3"/>
    <n v="1"/>
  </r>
  <r>
    <n v="2023"/>
    <n v="80204"/>
    <s v="Health Status"/>
    <x v="24"/>
    <s v="%"/>
    <s v="Crude prevalence"/>
    <n v="17.100000000000001"/>
    <n v="35269"/>
    <s v="West Colfax"/>
    <n v="80204"/>
    <s v="West Colfax"/>
    <x v="2"/>
    <n v="1"/>
  </r>
  <r>
    <n v="2023"/>
    <n v="80204"/>
    <s v="Disability"/>
    <x v="25"/>
    <s v="%"/>
    <s v="Crude prevalence"/>
    <n v="9.6999999999999993"/>
    <n v="35269"/>
    <s v="Sloan Lake"/>
    <n v="80204"/>
    <s v="Sloan Lake"/>
    <x v="1"/>
    <n v="2"/>
  </r>
  <r>
    <n v="2023"/>
    <n v="80204"/>
    <s v="Disability"/>
    <x v="25"/>
    <s v="%"/>
    <s v="Crude prevalence"/>
    <n v="9.6999999999999993"/>
    <n v="35269"/>
    <s v="Sloan Lake"/>
    <n v="80204"/>
    <s v="Sloan Lake"/>
    <x v="2"/>
    <n v="3"/>
  </r>
  <r>
    <n v="2023"/>
    <n v="80204"/>
    <s v="Disability"/>
    <x v="25"/>
    <s v="%"/>
    <s v="Crude prevalence"/>
    <n v="9.6999999999999993"/>
    <n v="35269"/>
    <s v="Villa Park"/>
    <n v="80204"/>
    <s v="Villa Park"/>
    <x v="3"/>
    <n v="2"/>
  </r>
  <r>
    <n v="2023"/>
    <n v="80204"/>
    <s v="Disability"/>
    <x v="25"/>
    <s v="%"/>
    <s v="Crude prevalence"/>
    <n v="9.6999999999999993"/>
    <n v="35269"/>
    <s v="Lincoln Park"/>
    <n v="80204"/>
    <s v="Lincoln Park"/>
    <x v="3"/>
    <n v="1"/>
  </r>
  <r>
    <n v="2023"/>
    <n v="80204"/>
    <s v="Disability"/>
    <x v="25"/>
    <s v="%"/>
    <s v="Crude prevalence"/>
    <n v="9.6999999999999993"/>
    <n v="35269"/>
    <s v="Auraria"/>
    <n v="80204"/>
    <s v="Auraria"/>
    <x v="3"/>
    <n v="1"/>
  </r>
  <r>
    <n v="2023"/>
    <n v="80204"/>
    <s v="Disability"/>
    <x v="25"/>
    <s v="%"/>
    <s v="Crude prevalence"/>
    <n v="9.6999999999999993"/>
    <n v="35269"/>
    <s v="West Colfax"/>
    <n v="80204"/>
    <s v="West Colfax"/>
    <x v="2"/>
    <n v="1"/>
  </r>
  <r>
    <n v="2023"/>
    <n v="80204"/>
    <s v="Health Outcomes"/>
    <x v="26"/>
    <s v="%"/>
    <s v="Crude prevalence"/>
    <n v="23.4"/>
    <n v="35269"/>
    <s v="Sloan Lake"/>
    <n v="80204"/>
    <s v="Sloan Lake"/>
    <x v="1"/>
    <n v="2"/>
  </r>
  <r>
    <n v="2023"/>
    <n v="80204"/>
    <s v="Health Outcomes"/>
    <x v="26"/>
    <s v="%"/>
    <s v="Crude prevalence"/>
    <n v="23.4"/>
    <n v="35269"/>
    <s v="Sloan Lake"/>
    <n v="80204"/>
    <s v="Sloan Lake"/>
    <x v="2"/>
    <n v="3"/>
  </r>
  <r>
    <n v="2023"/>
    <n v="80204"/>
    <s v="Health Outcomes"/>
    <x v="26"/>
    <s v="%"/>
    <s v="Crude prevalence"/>
    <n v="23.4"/>
    <n v="35269"/>
    <s v="Villa Park"/>
    <n v="80204"/>
    <s v="Villa Park"/>
    <x v="3"/>
    <n v="2"/>
  </r>
  <r>
    <n v="2023"/>
    <n v="80204"/>
    <s v="Health Outcomes"/>
    <x v="26"/>
    <s v="%"/>
    <s v="Crude prevalence"/>
    <n v="23.4"/>
    <n v="35269"/>
    <s v="Lincoln Park"/>
    <n v="80204"/>
    <s v="Lincoln Park"/>
    <x v="3"/>
    <n v="1"/>
  </r>
  <r>
    <n v="2023"/>
    <n v="80204"/>
    <s v="Health Outcomes"/>
    <x v="26"/>
    <s v="%"/>
    <s v="Crude prevalence"/>
    <n v="23.4"/>
    <n v="35269"/>
    <s v="Auraria"/>
    <n v="80204"/>
    <s v="Auraria"/>
    <x v="3"/>
    <n v="1"/>
  </r>
  <r>
    <n v="2023"/>
    <n v="80204"/>
    <s v="Health Outcomes"/>
    <x v="26"/>
    <s v="%"/>
    <s v="Crude prevalence"/>
    <n v="23.4"/>
    <n v="35269"/>
    <s v="West Colfax"/>
    <n v="80204"/>
    <s v="West Colfax"/>
    <x v="2"/>
    <n v="1"/>
  </r>
  <r>
    <n v="2023"/>
    <n v="80204"/>
    <s v="Health Status"/>
    <x v="27"/>
    <s v="%"/>
    <s v="Crude prevalence"/>
    <n v="12"/>
    <n v="35269"/>
    <s v="Sloan Lake"/>
    <n v="80204"/>
    <s v="Sloan Lake"/>
    <x v="1"/>
    <n v="2"/>
  </r>
  <r>
    <n v="2023"/>
    <n v="80204"/>
    <s v="Health Status"/>
    <x v="27"/>
    <s v="%"/>
    <s v="Crude prevalence"/>
    <n v="12"/>
    <n v="35269"/>
    <s v="Sloan Lake"/>
    <n v="80204"/>
    <s v="Sloan Lake"/>
    <x v="2"/>
    <n v="3"/>
  </r>
  <r>
    <n v="2023"/>
    <n v="80204"/>
    <s v="Health Status"/>
    <x v="27"/>
    <s v="%"/>
    <s v="Crude prevalence"/>
    <n v="12"/>
    <n v="35269"/>
    <s v="Villa Park"/>
    <n v="80204"/>
    <s v="Villa Park"/>
    <x v="3"/>
    <n v="2"/>
  </r>
  <r>
    <n v="2023"/>
    <n v="80204"/>
    <s v="Health Status"/>
    <x v="27"/>
    <s v="%"/>
    <s v="Crude prevalence"/>
    <n v="12"/>
    <n v="35269"/>
    <s v="Lincoln Park"/>
    <n v="80204"/>
    <s v="Lincoln Park"/>
    <x v="3"/>
    <n v="1"/>
  </r>
  <r>
    <n v="2023"/>
    <n v="80204"/>
    <s v="Health Status"/>
    <x v="27"/>
    <s v="%"/>
    <s v="Crude prevalence"/>
    <n v="12"/>
    <n v="35269"/>
    <s v="Auraria"/>
    <n v="80204"/>
    <s v="Auraria"/>
    <x v="3"/>
    <n v="1"/>
  </r>
  <r>
    <n v="2023"/>
    <n v="80204"/>
    <s v="Health Status"/>
    <x v="27"/>
    <s v="%"/>
    <s v="Crude prevalence"/>
    <n v="12"/>
    <n v="35269"/>
    <s v="West Colfax"/>
    <n v="80204"/>
    <s v="West Colfax"/>
    <x v="2"/>
    <n v="1"/>
  </r>
  <r>
    <n v="2023"/>
    <n v="80204"/>
    <s v="Disability"/>
    <x v="28"/>
    <s v="%"/>
    <s v="Crude prevalence"/>
    <n v="3.4"/>
    <n v="35269"/>
    <s v="Sloan Lake"/>
    <n v="80204"/>
    <s v="Sloan Lake"/>
    <x v="1"/>
    <n v="2"/>
  </r>
  <r>
    <n v="2023"/>
    <n v="80204"/>
    <s v="Disability"/>
    <x v="28"/>
    <s v="%"/>
    <s v="Crude prevalence"/>
    <n v="3.4"/>
    <n v="35269"/>
    <s v="Sloan Lake"/>
    <n v="80204"/>
    <s v="Sloan Lake"/>
    <x v="2"/>
    <n v="3"/>
  </r>
  <r>
    <n v="2023"/>
    <n v="80204"/>
    <s v="Disability"/>
    <x v="28"/>
    <s v="%"/>
    <s v="Crude prevalence"/>
    <n v="3.4"/>
    <n v="35269"/>
    <s v="Villa Park"/>
    <n v="80204"/>
    <s v="Villa Park"/>
    <x v="3"/>
    <n v="2"/>
  </r>
  <r>
    <n v="2023"/>
    <n v="80204"/>
    <s v="Disability"/>
    <x v="28"/>
    <s v="%"/>
    <s v="Crude prevalence"/>
    <n v="3.4"/>
    <n v="35269"/>
    <s v="Lincoln Park"/>
    <n v="80204"/>
    <s v="Lincoln Park"/>
    <x v="3"/>
    <n v="1"/>
  </r>
  <r>
    <n v="2023"/>
    <n v="80204"/>
    <s v="Disability"/>
    <x v="28"/>
    <s v="%"/>
    <s v="Crude prevalence"/>
    <n v="3.4"/>
    <n v="35269"/>
    <s v="Auraria"/>
    <n v="80204"/>
    <s v="Auraria"/>
    <x v="3"/>
    <n v="1"/>
  </r>
  <r>
    <n v="2023"/>
    <n v="80204"/>
    <s v="Disability"/>
    <x v="28"/>
    <s v="%"/>
    <s v="Crude prevalence"/>
    <n v="3.4"/>
    <n v="35269"/>
    <s v="West Colfax"/>
    <n v="80204"/>
    <s v="West Colfax"/>
    <x v="2"/>
    <n v="1"/>
  </r>
  <r>
    <n v="2022"/>
    <n v="80204"/>
    <s v="Health Risk Behaviors"/>
    <x v="29"/>
    <s v="%"/>
    <s v="Crude prevalence"/>
    <n v="30.2"/>
    <n v="35269"/>
    <s v="Sloan Lake"/>
    <n v="80204"/>
    <s v="Sloan Lake"/>
    <x v="1"/>
    <n v="2"/>
  </r>
  <r>
    <n v="2022"/>
    <n v="80204"/>
    <s v="Health Risk Behaviors"/>
    <x v="29"/>
    <s v="%"/>
    <s v="Crude prevalence"/>
    <n v="30.2"/>
    <n v="35269"/>
    <s v="Sloan Lake"/>
    <n v="80204"/>
    <s v="Sloan Lake"/>
    <x v="2"/>
    <n v="3"/>
  </r>
  <r>
    <n v="2022"/>
    <n v="80204"/>
    <s v="Health Risk Behaviors"/>
    <x v="29"/>
    <s v="%"/>
    <s v="Crude prevalence"/>
    <n v="30.2"/>
    <n v="35269"/>
    <s v="Villa Park"/>
    <n v="80204"/>
    <s v="Villa Park"/>
    <x v="3"/>
    <n v="2"/>
  </r>
  <r>
    <n v="2022"/>
    <n v="80204"/>
    <s v="Health Risk Behaviors"/>
    <x v="29"/>
    <s v="%"/>
    <s v="Crude prevalence"/>
    <n v="30.2"/>
    <n v="35269"/>
    <s v="Lincoln Park"/>
    <n v="80204"/>
    <s v="Lincoln Park"/>
    <x v="3"/>
    <n v="1"/>
  </r>
  <r>
    <n v="2022"/>
    <n v="80204"/>
    <s v="Health Risk Behaviors"/>
    <x v="29"/>
    <s v="%"/>
    <s v="Crude prevalence"/>
    <n v="30.2"/>
    <n v="35269"/>
    <s v="Auraria"/>
    <n v="80204"/>
    <s v="Auraria"/>
    <x v="3"/>
    <n v="1"/>
  </r>
  <r>
    <n v="2022"/>
    <n v="80204"/>
    <s v="Health Risk Behaviors"/>
    <x v="29"/>
    <s v="%"/>
    <s v="Crude prevalence"/>
    <n v="30.2"/>
    <n v="35269"/>
    <s v="West Colfax"/>
    <n v="80204"/>
    <s v="West Colfax"/>
    <x v="2"/>
    <n v="1"/>
  </r>
  <r>
    <n v="2023"/>
    <n v="80204"/>
    <s v="Health Outcomes"/>
    <x v="30"/>
    <s v="%"/>
    <s v="Crude prevalence"/>
    <n v="2.2999999999999998"/>
    <n v="35269"/>
    <s v="Sloan Lake"/>
    <n v="80204"/>
    <s v="Sloan Lake"/>
    <x v="1"/>
    <n v="2"/>
  </r>
  <r>
    <n v="2023"/>
    <n v="80204"/>
    <s v="Health Outcomes"/>
    <x v="30"/>
    <s v="%"/>
    <s v="Crude prevalence"/>
    <n v="2.2999999999999998"/>
    <n v="35269"/>
    <s v="Sloan Lake"/>
    <n v="80204"/>
    <s v="Sloan Lake"/>
    <x v="2"/>
    <n v="3"/>
  </r>
  <r>
    <n v="2023"/>
    <n v="80204"/>
    <s v="Health Outcomes"/>
    <x v="30"/>
    <s v="%"/>
    <s v="Crude prevalence"/>
    <n v="2.2999999999999998"/>
    <n v="35269"/>
    <s v="Villa Park"/>
    <n v="80204"/>
    <s v="Villa Park"/>
    <x v="3"/>
    <n v="2"/>
  </r>
  <r>
    <n v="2023"/>
    <n v="80204"/>
    <s v="Health Outcomes"/>
    <x v="30"/>
    <s v="%"/>
    <s v="Crude prevalence"/>
    <n v="2.2999999999999998"/>
    <n v="35269"/>
    <s v="Lincoln Park"/>
    <n v="80204"/>
    <s v="Lincoln Park"/>
    <x v="3"/>
    <n v="1"/>
  </r>
  <r>
    <n v="2023"/>
    <n v="80204"/>
    <s v="Health Outcomes"/>
    <x v="30"/>
    <s v="%"/>
    <s v="Crude prevalence"/>
    <n v="2.2999999999999998"/>
    <n v="35269"/>
    <s v="Auraria"/>
    <n v="80204"/>
    <s v="Auraria"/>
    <x v="3"/>
    <n v="1"/>
  </r>
  <r>
    <n v="2023"/>
    <n v="80204"/>
    <s v="Health Outcomes"/>
    <x v="30"/>
    <s v="%"/>
    <s v="Crude prevalence"/>
    <n v="2.2999999999999998"/>
    <n v="35269"/>
    <s v="West Colfax"/>
    <n v="80204"/>
    <s v="West Colfax"/>
    <x v="2"/>
    <n v="1"/>
  </r>
  <r>
    <n v="2022"/>
    <n v="80204"/>
    <s v="Health Outcomes"/>
    <x v="31"/>
    <s v="%"/>
    <s v="Crude prevalence"/>
    <n v="13.6"/>
    <n v="35269"/>
    <s v="Sloan Lake"/>
    <n v="80204"/>
    <s v="Sloan Lake"/>
    <x v="1"/>
    <n v="2"/>
  </r>
  <r>
    <n v="2022"/>
    <n v="80204"/>
    <s v="Health Outcomes"/>
    <x v="31"/>
    <s v="%"/>
    <s v="Crude prevalence"/>
    <n v="13.6"/>
    <n v="35269"/>
    <s v="Sloan Lake"/>
    <n v="80204"/>
    <s v="Sloan Lake"/>
    <x v="2"/>
    <n v="3"/>
  </r>
  <r>
    <n v="2022"/>
    <n v="80204"/>
    <s v="Health Outcomes"/>
    <x v="31"/>
    <s v="%"/>
    <s v="Crude prevalence"/>
    <n v="13.6"/>
    <n v="35269"/>
    <s v="Villa Park"/>
    <n v="80204"/>
    <s v="Villa Park"/>
    <x v="3"/>
    <n v="2"/>
  </r>
  <r>
    <n v="2022"/>
    <n v="80204"/>
    <s v="Health Outcomes"/>
    <x v="31"/>
    <s v="%"/>
    <s v="Crude prevalence"/>
    <n v="13.6"/>
    <n v="35269"/>
    <s v="Lincoln Park"/>
    <n v="80204"/>
    <s v="Lincoln Park"/>
    <x v="3"/>
    <n v="1"/>
  </r>
  <r>
    <n v="2022"/>
    <n v="80204"/>
    <s v="Health Outcomes"/>
    <x v="31"/>
    <s v="%"/>
    <s v="Crude prevalence"/>
    <n v="13.6"/>
    <n v="35269"/>
    <s v="Auraria"/>
    <n v="80204"/>
    <s v="Auraria"/>
    <x v="3"/>
    <n v="1"/>
  </r>
  <r>
    <n v="2022"/>
    <n v="80204"/>
    <s v="Health Outcomes"/>
    <x v="31"/>
    <s v="%"/>
    <s v="Crude prevalence"/>
    <n v="13.6"/>
    <n v="35269"/>
    <s v="West Colfax"/>
    <n v="80204"/>
    <s v="West Colfax"/>
    <x v="2"/>
    <n v="1"/>
  </r>
  <r>
    <n v="2023"/>
    <n v="80204"/>
    <s v="Disability"/>
    <x v="32"/>
    <s v="%"/>
    <s v="Crude prevalence"/>
    <n v="5.6"/>
    <n v="35269"/>
    <s v="Sloan Lake"/>
    <n v="80204"/>
    <s v="Sloan Lake"/>
    <x v="1"/>
    <n v="2"/>
  </r>
  <r>
    <n v="2023"/>
    <n v="80204"/>
    <s v="Disability"/>
    <x v="32"/>
    <s v="%"/>
    <s v="Crude prevalence"/>
    <n v="5.6"/>
    <n v="35269"/>
    <s v="Sloan Lake"/>
    <n v="80204"/>
    <s v="Sloan Lake"/>
    <x v="2"/>
    <n v="3"/>
  </r>
  <r>
    <n v="2023"/>
    <n v="80204"/>
    <s v="Disability"/>
    <x v="32"/>
    <s v="%"/>
    <s v="Crude prevalence"/>
    <n v="5.6"/>
    <n v="35269"/>
    <s v="Villa Park"/>
    <n v="80204"/>
    <s v="Villa Park"/>
    <x v="3"/>
    <n v="2"/>
  </r>
  <r>
    <n v="2023"/>
    <n v="80204"/>
    <s v="Disability"/>
    <x v="32"/>
    <s v="%"/>
    <s v="Crude prevalence"/>
    <n v="5.6"/>
    <n v="35269"/>
    <s v="Lincoln Park"/>
    <n v="80204"/>
    <s v="Lincoln Park"/>
    <x v="3"/>
    <n v="1"/>
  </r>
  <r>
    <n v="2023"/>
    <n v="80204"/>
    <s v="Disability"/>
    <x v="32"/>
    <s v="%"/>
    <s v="Crude prevalence"/>
    <n v="5.6"/>
    <n v="35269"/>
    <s v="Auraria"/>
    <n v="80204"/>
    <s v="Auraria"/>
    <x v="3"/>
    <n v="1"/>
  </r>
  <r>
    <n v="2023"/>
    <n v="80204"/>
    <s v="Disability"/>
    <x v="32"/>
    <s v="%"/>
    <s v="Crude prevalence"/>
    <n v="5.6"/>
    <n v="35269"/>
    <s v="West Colfax"/>
    <n v="80204"/>
    <s v="West Colfax"/>
    <x v="2"/>
    <n v="1"/>
  </r>
  <r>
    <n v="2023"/>
    <n v="80205"/>
    <s v="Prevention"/>
    <x v="0"/>
    <s v="%"/>
    <s v="Crude prevalence"/>
    <n v="12.1"/>
    <n v="34967"/>
    <s v="City Park"/>
    <n v="80205"/>
    <s v="City Park"/>
    <x v="2"/>
    <n v="2"/>
  </r>
  <r>
    <n v="2023"/>
    <n v="80205"/>
    <s v="Prevention"/>
    <x v="0"/>
    <s v="%"/>
    <s v="Crude prevalence"/>
    <n v="12.1"/>
    <n v="34967"/>
    <s v="Cole"/>
    <n v="80205"/>
    <s v="Cole"/>
    <x v="3"/>
    <n v="2"/>
  </r>
  <r>
    <n v="2023"/>
    <n v="80205"/>
    <s v="Prevention"/>
    <x v="0"/>
    <s v="%"/>
    <s v="Crude prevalence"/>
    <n v="12.1"/>
    <n v="34967"/>
    <s v="Whittier"/>
    <n v="80205"/>
    <s v="Whittier"/>
    <x v="3"/>
    <n v="1"/>
  </r>
  <r>
    <n v="2023"/>
    <n v="80205"/>
    <s v="Prevention"/>
    <x v="0"/>
    <s v="%"/>
    <s v="Crude prevalence"/>
    <n v="12.1"/>
    <n v="34967"/>
    <s v="Five Points"/>
    <n v="80205"/>
    <s v="Five Points"/>
    <x v="3"/>
    <n v="1"/>
  </r>
  <r>
    <n v="2023"/>
    <n v="80205"/>
    <s v="Prevention"/>
    <x v="0"/>
    <s v="%"/>
    <s v="Crude prevalence"/>
    <n v="12.1"/>
    <n v="34967"/>
    <s v="Five Points"/>
    <n v="80205"/>
    <s v="Five Points"/>
    <x v="3"/>
    <n v="1"/>
  </r>
  <r>
    <n v="2023"/>
    <n v="80205"/>
    <s v="Health Outcomes"/>
    <x v="1"/>
    <s v="%"/>
    <s v="Crude prevalence"/>
    <n v="15.7"/>
    <n v="34967"/>
    <s v="City Park"/>
    <n v="80205"/>
    <s v="City Park"/>
    <x v="2"/>
    <n v="1"/>
  </r>
  <r>
    <n v="2023"/>
    <n v="80205"/>
    <s v="Health Outcomes"/>
    <x v="1"/>
    <s v="%"/>
    <s v="Crude prevalence"/>
    <n v="15.7"/>
    <n v="34967"/>
    <s v="Cole"/>
    <n v="80205"/>
    <s v="Cole"/>
    <x v="3"/>
    <n v="2"/>
  </r>
  <r>
    <n v="2023"/>
    <n v="80205"/>
    <s v="Health Outcomes"/>
    <x v="1"/>
    <s v="%"/>
    <s v="Crude prevalence"/>
    <n v="15.7"/>
    <n v="34967"/>
    <s v="Whittier"/>
    <n v="80205"/>
    <s v="Whittier"/>
    <x v="3"/>
    <n v="1"/>
  </r>
  <r>
    <n v="2023"/>
    <n v="80205"/>
    <s v="Health Outcomes"/>
    <x v="1"/>
    <s v="%"/>
    <s v="Crude prevalence"/>
    <n v="15.7"/>
    <n v="34967"/>
    <s v="Five Points"/>
    <n v="80205"/>
    <s v="Five Points"/>
    <x v="3"/>
    <n v="1"/>
  </r>
  <r>
    <n v="2023"/>
    <n v="80205"/>
    <s v="Health Outcomes"/>
    <x v="1"/>
    <s v="%"/>
    <s v="Crude prevalence"/>
    <n v="15.7"/>
    <n v="34967"/>
    <s v="Five Points"/>
    <n v="80205"/>
    <s v="Five Points"/>
    <x v="3"/>
    <n v="1"/>
  </r>
  <r>
    <n v="2023"/>
    <n v="80205"/>
    <s v="Health Risk Behaviors"/>
    <x v="2"/>
    <s v="%"/>
    <s v="Crude prevalence"/>
    <n v="27.4"/>
    <n v="34967"/>
    <s v="City Park"/>
    <n v="80205"/>
    <s v="City Park"/>
    <x v="2"/>
    <n v="1"/>
  </r>
  <r>
    <n v="2023"/>
    <n v="80205"/>
    <s v="Health Risk Behaviors"/>
    <x v="2"/>
    <s v="%"/>
    <s v="Crude prevalence"/>
    <n v="27.4"/>
    <n v="34967"/>
    <s v="Cole"/>
    <n v="80205"/>
    <s v="Cole"/>
    <x v="3"/>
    <n v="2"/>
  </r>
  <r>
    <n v="2023"/>
    <n v="80205"/>
    <s v="Health Risk Behaviors"/>
    <x v="2"/>
    <s v="%"/>
    <s v="Crude prevalence"/>
    <n v="27.4"/>
    <n v="34967"/>
    <s v="Whittier"/>
    <n v="80205"/>
    <s v="Whittier"/>
    <x v="3"/>
    <n v="1"/>
  </r>
  <r>
    <n v="2023"/>
    <n v="80205"/>
    <s v="Health Risk Behaviors"/>
    <x v="2"/>
    <s v="%"/>
    <s v="Crude prevalence"/>
    <n v="27.4"/>
    <n v="34967"/>
    <s v="Five Points"/>
    <n v="80205"/>
    <s v="Five Points"/>
    <x v="3"/>
    <n v="1"/>
  </r>
  <r>
    <n v="2023"/>
    <n v="80205"/>
    <s v="Health Risk Behaviors"/>
    <x v="2"/>
    <s v="%"/>
    <s v="Crude prevalence"/>
    <n v="27.4"/>
    <n v="34967"/>
    <s v="Five Points"/>
    <n v="80205"/>
    <s v="Five Points"/>
    <x v="3"/>
    <n v="1"/>
  </r>
  <r>
    <n v="2023"/>
    <n v="80205"/>
    <s v="Health Outcomes"/>
    <x v="3"/>
    <s v="%"/>
    <s v="Crude prevalence"/>
    <n v="20.3"/>
    <n v="34967"/>
    <s v="City Park"/>
    <n v="80205"/>
    <s v="City Park"/>
    <x v="2"/>
    <n v="1"/>
  </r>
  <r>
    <n v="2023"/>
    <n v="80205"/>
    <s v="Health Outcomes"/>
    <x v="3"/>
    <s v="%"/>
    <s v="Crude prevalence"/>
    <n v="20.3"/>
    <n v="34967"/>
    <s v="Cole"/>
    <n v="80205"/>
    <s v="Cole"/>
    <x v="3"/>
    <n v="2"/>
  </r>
  <r>
    <n v="2023"/>
    <n v="80205"/>
    <s v="Health Outcomes"/>
    <x v="3"/>
    <s v="%"/>
    <s v="Crude prevalence"/>
    <n v="20.3"/>
    <n v="34967"/>
    <s v="Whittier"/>
    <n v="80205"/>
    <s v="Whittier"/>
    <x v="3"/>
    <n v="1"/>
  </r>
  <r>
    <n v="2023"/>
    <n v="80205"/>
    <s v="Health Outcomes"/>
    <x v="3"/>
    <s v="%"/>
    <s v="Crude prevalence"/>
    <n v="20.3"/>
    <n v="34967"/>
    <s v="Five Points"/>
    <n v="80205"/>
    <s v="Five Points"/>
    <x v="3"/>
    <n v="1"/>
  </r>
  <r>
    <n v="2023"/>
    <n v="80205"/>
    <s v="Health Outcomes"/>
    <x v="3"/>
    <s v="%"/>
    <s v="Crude prevalence"/>
    <n v="20.3"/>
    <n v="34967"/>
    <s v="Five Points"/>
    <n v="80205"/>
    <s v="Five Points"/>
    <x v="3"/>
    <n v="1"/>
  </r>
  <r>
    <n v="2023"/>
    <n v="80205"/>
    <s v="Prevention"/>
    <x v="4"/>
    <s v="%"/>
    <s v="Crude prevalence"/>
    <n v="60.9"/>
    <n v="34967"/>
    <s v="City Park"/>
    <n v="80205"/>
    <s v="City Park"/>
    <x v="2"/>
    <n v="1"/>
  </r>
  <r>
    <n v="2023"/>
    <n v="80205"/>
    <s v="Prevention"/>
    <x v="4"/>
    <s v="%"/>
    <s v="Crude prevalence"/>
    <n v="60.9"/>
    <n v="34967"/>
    <s v="Cole"/>
    <n v="80205"/>
    <s v="Cole"/>
    <x v="3"/>
    <n v="2"/>
  </r>
  <r>
    <n v="2023"/>
    <n v="80205"/>
    <s v="Prevention"/>
    <x v="4"/>
    <s v="%"/>
    <s v="Crude prevalence"/>
    <n v="60.9"/>
    <n v="34967"/>
    <s v="Whittier"/>
    <n v="80205"/>
    <s v="Whittier"/>
    <x v="3"/>
    <n v="1"/>
  </r>
  <r>
    <n v="2023"/>
    <n v="80205"/>
    <s v="Prevention"/>
    <x v="4"/>
    <s v="%"/>
    <s v="Crude prevalence"/>
    <n v="60.9"/>
    <n v="34967"/>
    <s v="Five Points"/>
    <n v="80205"/>
    <s v="Five Points"/>
    <x v="3"/>
    <n v="1"/>
  </r>
  <r>
    <n v="2023"/>
    <n v="80205"/>
    <s v="Prevention"/>
    <x v="4"/>
    <s v="%"/>
    <s v="Crude prevalence"/>
    <n v="60.9"/>
    <n v="34967"/>
    <s v="Five Points"/>
    <n v="80205"/>
    <s v="Five Points"/>
    <x v="3"/>
    <n v="1"/>
  </r>
  <r>
    <n v="2023"/>
    <n v="80205"/>
    <s v="Health Outcomes"/>
    <x v="5"/>
    <s v="%"/>
    <s v="Crude prevalence"/>
    <n v="4.3"/>
    <n v="34967"/>
    <s v="City Park"/>
    <n v="80205"/>
    <s v="City Park"/>
    <x v="2"/>
    <n v="1"/>
  </r>
  <r>
    <n v="2023"/>
    <n v="80205"/>
    <s v="Health Outcomes"/>
    <x v="5"/>
    <s v="%"/>
    <s v="Crude prevalence"/>
    <n v="4.3"/>
    <n v="34967"/>
    <s v="Cole"/>
    <n v="80205"/>
    <s v="Cole"/>
    <x v="3"/>
    <n v="2"/>
  </r>
  <r>
    <n v="2023"/>
    <n v="80205"/>
    <s v="Health Outcomes"/>
    <x v="5"/>
    <s v="%"/>
    <s v="Crude prevalence"/>
    <n v="4.3"/>
    <n v="34967"/>
    <s v="Whittier"/>
    <n v="80205"/>
    <s v="Whittier"/>
    <x v="3"/>
    <n v="1"/>
  </r>
  <r>
    <n v="2023"/>
    <n v="80205"/>
    <s v="Health Outcomes"/>
    <x v="5"/>
    <s v="%"/>
    <s v="Crude prevalence"/>
    <n v="4.3"/>
    <n v="34967"/>
    <s v="Five Points"/>
    <n v="80205"/>
    <s v="Five Points"/>
    <x v="3"/>
    <n v="1"/>
  </r>
  <r>
    <n v="2023"/>
    <n v="80205"/>
    <s v="Health Outcomes"/>
    <x v="5"/>
    <s v="%"/>
    <s v="Crude prevalence"/>
    <n v="4.3"/>
    <n v="34967"/>
    <s v="Five Points"/>
    <n v="80205"/>
    <s v="Five Points"/>
    <x v="3"/>
    <n v="1"/>
  </r>
  <r>
    <n v="2023"/>
    <n v="80205"/>
    <s v="Health Outcomes"/>
    <x v="6"/>
    <s v="%"/>
    <s v="Crude prevalence"/>
    <n v="10.7"/>
    <n v="34967"/>
    <s v="City Park"/>
    <n v="80205"/>
    <s v="City Park"/>
    <x v="2"/>
    <n v="1"/>
  </r>
  <r>
    <n v="2023"/>
    <n v="80205"/>
    <s v="Health Outcomes"/>
    <x v="6"/>
    <s v="%"/>
    <s v="Crude prevalence"/>
    <n v="10.7"/>
    <n v="34967"/>
    <s v="Cole"/>
    <n v="80205"/>
    <s v="Cole"/>
    <x v="3"/>
    <n v="2"/>
  </r>
  <r>
    <n v="2023"/>
    <n v="80205"/>
    <s v="Health Outcomes"/>
    <x v="6"/>
    <s v="%"/>
    <s v="Crude prevalence"/>
    <n v="10.7"/>
    <n v="34967"/>
    <s v="Whittier"/>
    <n v="80205"/>
    <s v="Whittier"/>
    <x v="3"/>
    <n v="1"/>
  </r>
  <r>
    <n v="2023"/>
    <n v="80205"/>
    <s v="Health Outcomes"/>
    <x v="6"/>
    <s v="%"/>
    <s v="Crude prevalence"/>
    <n v="10.7"/>
    <n v="34967"/>
    <s v="Five Points"/>
    <n v="80205"/>
    <s v="Five Points"/>
    <x v="3"/>
    <n v="1"/>
  </r>
  <r>
    <n v="2023"/>
    <n v="80205"/>
    <s v="Health Outcomes"/>
    <x v="6"/>
    <s v="%"/>
    <s v="Crude prevalence"/>
    <n v="10.7"/>
    <n v="34967"/>
    <s v="Five Points"/>
    <n v="80205"/>
    <s v="Five Points"/>
    <x v="3"/>
    <n v="1"/>
  </r>
  <r>
    <n v="2023"/>
    <n v="80205"/>
    <s v="Health Outcomes"/>
    <x v="7"/>
    <s v="%"/>
    <s v="Crude prevalence"/>
    <n v="3.4"/>
    <n v="34967"/>
    <s v="City Park"/>
    <n v="80205"/>
    <s v="City Park"/>
    <x v="2"/>
    <n v="1"/>
  </r>
  <r>
    <n v="2023"/>
    <n v="80205"/>
    <s v="Health Outcomes"/>
    <x v="7"/>
    <s v="%"/>
    <s v="Crude prevalence"/>
    <n v="3.4"/>
    <n v="34967"/>
    <s v="Cole"/>
    <n v="80205"/>
    <s v="Cole"/>
    <x v="3"/>
    <n v="2"/>
  </r>
  <r>
    <n v="2023"/>
    <n v="80205"/>
    <s v="Health Outcomes"/>
    <x v="7"/>
    <s v="%"/>
    <s v="Crude prevalence"/>
    <n v="3.4"/>
    <n v="34967"/>
    <s v="Whittier"/>
    <n v="80205"/>
    <s v="Whittier"/>
    <x v="3"/>
    <n v="1"/>
  </r>
  <r>
    <n v="2023"/>
    <n v="80205"/>
    <s v="Health Outcomes"/>
    <x v="7"/>
    <s v="%"/>
    <s v="Crude prevalence"/>
    <n v="3.4"/>
    <n v="34967"/>
    <s v="Five Points"/>
    <n v="80205"/>
    <s v="Five Points"/>
    <x v="3"/>
    <n v="1"/>
  </r>
  <r>
    <n v="2023"/>
    <n v="80205"/>
    <s v="Health Outcomes"/>
    <x v="7"/>
    <s v="%"/>
    <s v="Crude prevalence"/>
    <n v="3.4"/>
    <n v="34967"/>
    <s v="Five Points"/>
    <n v="80205"/>
    <s v="Five Points"/>
    <x v="3"/>
    <n v="1"/>
  </r>
  <r>
    <n v="2023"/>
    <n v="80205"/>
    <s v="Prevention"/>
    <x v="8"/>
    <s v="%"/>
    <s v="Crude prevalence"/>
    <n v="67.599999999999994"/>
    <n v="34967"/>
    <s v="City Park"/>
    <n v="80205"/>
    <s v="City Park"/>
    <x v="2"/>
    <n v="1"/>
  </r>
  <r>
    <n v="2023"/>
    <n v="80205"/>
    <s v="Prevention"/>
    <x v="8"/>
    <s v="%"/>
    <s v="Crude prevalence"/>
    <n v="67.599999999999994"/>
    <n v="34967"/>
    <s v="Cole"/>
    <n v="80205"/>
    <s v="Cole"/>
    <x v="3"/>
    <n v="2"/>
  </r>
  <r>
    <n v="2023"/>
    <n v="80205"/>
    <s v="Prevention"/>
    <x v="8"/>
    <s v="%"/>
    <s v="Crude prevalence"/>
    <n v="67.599999999999994"/>
    <n v="34967"/>
    <s v="Whittier"/>
    <n v="80205"/>
    <s v="Whittier"/>
    <x v="3"/>
    <n v="1"/>
  </r>
  <r>
    <n v="2023"/>
    <n v="80205"/>
    <s v="Prevention"/>
    <x v="8"/>
    <s v="%"/>
    <s v="Crude prevalence"/>
    <n v="67.599999999999994"/>
    <n v="34967"/>
    <s v="Five Points"/>
    <n v="80205"/>
    <s v="Five Points"/>
    <x v="3"/>
    <n v="1"/>
  </r>
  <r>
    <n v="2023"/>
    <n v="80205"/>
    <s v="Prevention"/>
    <x v="8"/>
    <s v="%"/>
    <s v="Crude prevalence"/>
    <n v="67.599999999999994"/>
    <n v="34967"/>
    <s v="Five Points"/>
    <n v="80205"/>
    <s v="Five Points"/>
    <x v="3"/>
    <n v="1"/>
  </r>
  <r>
    <n v="2023"/>
    <n v="80205"/>
    <s v="Prevention"/>
    <x v="9"/>
    <s v="%"/>
    <s v="Crude prevalence"/>
    <n v="81.5"/>
    <n v="34967"/>
    <s v="City Park"/>
    <n v="80205"/>
    <s v="City Park"/>
    <x v="2"/>
    <n v="1"/>
  </r>
  <r>
    <n v="2023"/>
    <n v="80205"/>
    <s v="Prevention"/>
    <x v="9"/>
    <s v="%"/>
    <s v="Crude prevalence"/>
    <n v="81.5"/>
    <n v="34967"/>
    <s v="Cole"/>
    <n v="80205"/>
    <s v="Cole"/>
    <x v="3"/>
    <n v="2"/>
  </r>
  <r>
    <n v="2023"/>
    <n v="80205"/>
    <s v="Prevention"/>
    <x v="9"/>
    <s v="%"/>
    <s v="Crude prevalence"/>
    <n v="81.5"/>
    <n v="34967"/>
    <s v="Whittier"/>
    <n v="80205"/>
    <s v="Whittier"/>
    <x v="3"/>
    <n v="1"/>
  </r>
  <r>
    <n v="2023"/>
    <n v="80205"/>
    <s v="Prevention"/>
    <x v="9"/>
    <s v="%"/>
    <s v="Crude prevalence"/>
    <n v="81.5"/>
    <n v="34967"/>
    <s v="Five Points"/>
    <n v="80205"/>
    <s v="Five Points"/>
    <x v="3"/>
    <n v="1"/>
  </r>
  <r>
    <n v="2023"/>
    <n v="80205"/>
    <s v="Prevention"/>
    <x v="9"/>
    <s v="%"/>
    <s v="Crude prevalence"/>
    <n v="81.5"/>
    <n v="34967"/>
    <s v="Five Points"/>
    <n v="80205"/>
    <s v="Five Points"/>
    <x v="3"/>
    <n v="1"/>
  </r>
  <r>
    <n v="2023"/>
    <n v="80205"/>
    <s v="Disability"/>
    <x v="10"/>
    <s v="%"/>
    <s v="Crude prevalence"/>
    <n v="14.6"/>
    <n v="34967"/>
    <s v="City Park"/>
    <n v="80205"/>
    <s v="City Park"/>
    <x v="2"/>
    <n v="1"/>
  </r>
  <r>
    <n v="2023"/>
    <n v="80205"/>
    <s v="Disability"/>
    <x v="10"/>
    <s v="%"/>
    <s v="Crude prevalence"/>
    <n v="14.6"/>
    <n v="34967"/>
    <s v="Cole"/>
    <n v="80205"/>
    <s v="Cole"/>
    <x v="3"/>
    <n v="2"/>
  </r>
  <r>
    <n v="2023"/>
    <n v="80205"/>
    <s v="Disability"/>
    <x v="10"/>
    <s v="%"/>
    <s v="Crude prevalence"/>
    <n v="14.6"/>
    <n v="34967"/>
    <s v="Whittier"/>
    <n v="80205"/>
    <s v="Whittier"/>
    <x v="3"/>
    <n v="1"/>
  </r>
  <r>
    <n v="2023"/>
    <n v="80205"/>
    <s v="Disability"/>
    <x v="10"/>
    <s v="%"/>
    <s v="Crude prevalence"/>
    <n v="14.6"/>
    <n v="34967"/>
    <s v="Five Points"/>
    <n v="80205"/>
    <s v="Five Points"/>
    <x v="3"/>
    <n v="1"/>
  </r>
  <r>
    <n v="2023"/>
    <n v="80205"/>
    <s v="Disability"/>
    <x v="10"/>
    <s v="%"/>
    <s v="Crude prevalence"/>
    <n v="14.6"/>
    <n v="34967"/>
    <s v="Five Points"/>
    <n v="80205"/>
    <s v="Five Points"/>
    <x v="3"/>
    <n v="1"/>
  </r>
  <r>
    <n v="2022"/>
    <n v="80205"/>
    <s v="Prevention"/>
    <x v="11"/>
    <s v="%"/>
    <s v="Crude prevalence"/>
    <n v="58.5"/>
    <n v="34967"/>
    <s v="City Park"/>
    <n v="80205"/>
    <s v="City Park"/>
    <x v="2"/>
    <n v="1"/>
  </r>
  <r>
    <n v="2022"/>
    <n v="80205"/>
    <s v="Prevention"/>
    <x v="11"/>
    <s v="%"/>
    <s v="Crude prevalence"/>
    <n v="58.5"/>
    <n v="34967"/>
    <s v="Cole"/>
    <n v="80205"/>
    <s v="Cole"/>
    <x v="3"/>
    <n v="2"/>
  </r>
  <r>
    <n v="2022"/>
    <n v="80205"/>
    <s v="Prevention"/>
    <x v="11"/>
    <s v="%"/>
    <s v="Crude prevalence"/>
    <n v="58.5"/>
    <n v="34967"/>
    <s v="Whittier"/>
    <n v="80205"/>
    <s v="Whittier"/>
    <x v="3"/>
    <n v="1"/>
  </r>
  <r>
    <n v="2022"/>
    <n v="80205"/>
    <s v="Prevention"/>
    <x v="11"/>
    <s v="%"/>
    <s v="Crude prevalence"/>
    <n v="58.5"/>
    <n v="34967"/>
    <s v="Five Points"/>
    <n v="80205"/>
    <s v="Five Points"/>
    <x v="3"/>
    <n v="1"/>
  </r>
  <r>
    <n v="2022"/>
    <n v="80205"/>
    <s v="Prevention"/>
    <x v="11"/>
    <s v="%"/>
    <s v="Crude prevalence"/>
    <n v="58.5"/>
    <n v="34967"/>
    <s v="Five Points"/>
    <n v="80205"/>
    <s v="Five Points"/>
    <x v="3"/>
    <n v="1"/>
  </r>
  <r>
    <n v="2023"/>
    <n v="80205"/>
    <s v="Health Outcomes"/>
    <x v="12"/>
    <s v="%"/>
    <s v="Crude prevalence"/>
    <n v="3.8"/>
    <n v="34967"/>
    <s v="City Park"/>
    <n v="80205"/>
    <s v="City Park"/>
    <x v="2"/>
    <n v="1"/>
  </r>
  <r>
    <n v="2023"/>
    <n v="80205"/>
    <s v="Health Outcomes"/>
    <x v="12"/>
    <s v="%"/>
    <s v="Crude prevalence"/>
    <n v="3.8"/>
    <n v="34967"/>
    <s v="Cole"/>
    <n v="80205"/>
    <s v="Cole"/>
    <x v="3"/>
    <n v="2"/>
  </r>
  <r>
    <n v="2023"/>
    <n v="80205"/>
    <s v="Health Outcomes"/>
    <x v="12"/>
    <s v="%"/>
    <s v="Crude prevalence"/>
    <n v="3.8"/>
    <n v="34967"/>
    <s v="Whittier"/>
    <n v="80205"/>
    <s v="Whittier"/>
    <x v="3"/>
    <n v="1"/>
  </r>
  <r>
    <n v="2023"/>
    <n v="80205"/>
    <s v="Health Outcomes"/>
    <x v="12"/>
    <s v="%"/>
    <s v="Crude prevalence"/>
    <n v="3.8"/>
    <n v="34967"/>
    <s v="Five Points"/>
    <n v="80205"/>
    <s v="Five Points"/>
    <x v="3"/>
    <n v="1"/>
  </r>
  <r>
    <n v="2023"/>
    <n v="80205"/>
    <s v="Health Outcomes"/>
    <x v="12"/>
    <s v="%"/>
    <s v="Crude prevalence"/>
    <n v="3.8"/>
    <n v="34967"/>
    <s v="Five Points"/>
    <n v="80205"/>
    <s v="Five Points"/>
    <x v="3"/>
    <n v="1"/>
  </r>
  <r>
    <n v="2023"/>
    <n v="80205"/>
    <s v="Health Risk Behaviors"/>
    <x v="13"/>
    <s v="%"/>
    <s v="Crude prevalence"/>
    <n v="11"/>
    <n v="34967"/>
    <s v="City Park"/>
    <n v="80205"/>
    <s v="City Park"/>
    <x v="2"/>
    <n v="1"/>
  </r>
  <r>
    <n v="2023"/>
    <n v="80205"/>
    <s v="Health Risk Behaviors"/>
    <x v="13"/>
    <s v="%"/>
    <s v="Crude prevalence"/>
    <n v="11"/>
    <n v="34967"/>
    <s v="Cole"/>
    <n v="80205"/>
    <s v="Cole"/>
    <x v="3"/>
    <n v="2"/>
  </r>
  <r>
    <n v="2023"/>
    <n v="80205"/>
    <s v="Health Risk Behaviors"/>
    <x v="13"/>
    <s v="%"/>
    <s v="Crude prevalence"/>
    <n v="11"/>
    <n v="34967"/>
    <s v="Whittier"/>
    <n v="80205"/>
    <s v="Whittier"/>
    <x v="3"/>
    <n v="1"/>
  </r>
  <r>
    <n v="2023"/>
    <n v="80205"/>
    <s v="Health Risk Behaviors"/>
    <x v="13"/>
    <s v="%"/>
    <s v="Crude prevalence"/>
    <n v="11"/>
    <n v="34967"/>
    <s v="Five Points"/>
    <n v="80205"/>
    <s v="Five Points"/>
    <x v="3"/>
    <n v="1"/>
  </r>
  <r>
    <n v="2023"/>
    <n v="80205"/>
    <s v="Health Risk Behaviors"/>
    <x v="13"/>
    <s v="%"/>
    <s v="Crude prevalence"/>
    <n v="11"/>
    <n v="34967"/>
    <s v="Five Points"/>
    <n v="80205"/>
    <s v="Five Points"/>
    <x v="3"/>
    <n v="1"/>
  </r>
  <r>
    <n v="2022"/>
    <n v="80205"/>
    <s v="Prevention"/>
    <x v="14"/>
    <s v="%"/>
    <s v="Crude prevalence"/>
    <n v="61.4"/>
    <n v="34967"/>
    <s v="City Park"/>
    <n v="80205"/>
    <s v="City Park"/>
    <x v="2"/>
    <n v="1"/>
  </r>
  <r>
    <n v="2022"/>
    <n v="80205"/>
    <s v="Prevention"/>
    <x v="14"/>
    <s v="%"/>
    <s v="Crude prevalence"/>
    <n v="61.4"/>
    <n v="34967"/>
    <s v="Cole"/>
    <n v="80205"/>
    <s v="Cole"/>
    <x v="3"/>
    <n v="2"/>
  </r>
  <r>
    <n v="2022"/>
    <n v="80205"/>
    <s v="Prevention"/>
    <x v="14"/>
    <s v="%"/>
    <s v="Crude prevalence"/>
    <n v="61.4"/>
    <n v="34967"/>
    <s v="Whittier"/>
    <n v="80205"/>
    <s v="Whittier"/>
    <x v="3"/>
    <n v="1"/>
  </r>
  <r>
    <n v="2022"/>
    <n v="80205"/>
    <s v="Prevention"/>
    <x v="14"/>
    <s v="%"/>
    <s v="Crude prevalence"/>
    <n v="61.4"/>
    <n v="34967"/>
    <s v="Five Points"/>
    <n v="80205"/>
    <s v="Five Points"/>
    <x v="3"/>
    <n v="1"/>
  </r>
  <r>
    <n v="2022"/>
    <n v="80205"/>
    <s v="Prevention"/>
    <x v="14"/>
    <s v="%"/>
    <s v="Crude prevalence"/>
    <n v="61.4"/>
    <n v="34967"/>
    <s v="Five Points"/>
    <n v="80205"/>
    <s v="Five Points"/>
    <x v="3"/>
    <n v="1"/>
  </r>
  <r>
    <n v="2023"/>
    <n v="80205"/>
    <s v="Health Outcomes"/>
    <x v="15"/>
    <s v="%"/>
    <s v="Crude prevalence"/>
    <n v="24.1"/>
    <n v="34967"/>
    <s v="City Park"/>
    <n v="80205"/>
    <s v="City Park"/>
    <x v="2"/>
    <n v="1"/>
  </r>
  <r>
    <n v="2023"/>
    <n v="80205"/>
    <s v="Health Outcomes"/>
    <x v="15"/>
    <s v="%"/>
    <s v="Crude prevalence"/>
    <n v="24.1"/>
    <n v="34967"/>
    <s v="Cole"/>
    <n v="80205"/>
    <s v="Cole"/>
    <x v="3"/>
    <n v="2"/>
  </r>
  <r>
    <n v="2023"/>
    <n v="80205"/>
    <s v="Health Outcomes"/>
    <x v="15"/>
    <s v="%"/>
    <s v="Crude prevalence"/>
    <n v="24.1"/>
    <n v="34967"/>
    <s v="Whittier"/>
    <n v="80205"/>
    <s v="Whittier"/>
    <x v="3"/>
    <n v="1"/>
  </r>
  <r>
    <n v="2023"/>
    <n v="80205"/>
    <s v="Health Outcomes"/>
    <x v="15"/>
    <s v="%"/>
    <s v="Crude prevalence"/>
    <n v="24.1"/>
    <n v="34967"/>
    <s v="Five Points"/>
    <n v="80205"/>
    <s v="Five Points"/>
    <x v="3"/>
    <n v="1"/>
  </r>
  <r>
    <n v="2023"/>
    <n v="80205"/>
    <s v="Health Outcomes"/>
    <x v="15"/>
    <s v="%"/>
    <s v="Crude prevalence"/>
    <n v="24.1"/>
    <n v="34967"/>
    <s v="Five Points"/>
    <n v="80205"/>
    <s v="Five Points"/>
    <x v="3"/>
    <n v="1"/>
  </r>
  <r>
    <n v="2023"/>
    <n v="80205"/>
    <s v="Health Outcomes"/>
    <x v="16"/>
    <s v="%"/>
    <s v="Crude prevalence"/>
    <n v="6.7"/>
    <n v="34967"/>
    <s v="City Park"/>
    <n v="80205"/>
    <s v="City Park"/>
    <x v="2"/>
    <n v="1"/>
  </r>
  <r>
    <n v="2023"/>
    <n v="80205"/>
    <s v="Health Outcomes"/>
    <x v="16"/>
    <s v="%"/>
    <s v="Crude prevalence"/>
    <n v="6.7"/>
    <n v="34967"/>
    <s v="Cole"/>
    <n v="80205"/>
    <s v="Cole"/>
    <x v="3"/>
    <n v="2"/>
  </r>
  <r>
    <n v="2023"/>
    <n v="80205"/>
    <s v="Health Outcomes"/>
    <x v="16"/>
    <s v="%"/>
    <s v="Crude prevalence"/>
    <n v="6.7"/>
    <n v="34967"/>
    <s v="Whittier"/>
    <n v="80205"/>
    <s v="Whittier"/>
    <x v="3"/>
    <n v="1"/>
  </r>
  <r>
    <n v="2023"/>
    <n v="80205"/>
    <s v="Health Outcomes"/>
    <x v="16"/>
    <s v="%"/>
    <s v="Crude prevalence"/>
    <n v="6.7"/>
    <n v="34967"/>
    <s v="Five Points"/>
    <n v="80205"/>
    <s v="Five Points"/>
    <x v="3"/>
    <n v="1"/>
  </r>
  <r>
    <n v="2023"/>
    <n v="80205"/>
    <s v="Health Outcomes"/>
    <x v="16"/>
    <s v="%"/>
    <s v="Crude prevalence"/>
    <n v="6.7"/>
    <n v="34967"/>
    <s v="Five Points"/>
    <n v="80205"/>
    <s v="Five Points"/>
    <x v="3"/>
    <n v="1"/>
  </r>
  <r>
    <n v="2023"/>
    <n v="80205"/>
    <s v="Disability"/>
    <x v="17"/>
    <s v="%"/>
    <s v="Crude prevalence"/>
    <n v="24.8"/>
    <n v="34967"/>
    <s v="City Park"/>
    <n v="80205"/>
    <s v="City Park"/>
    <x v="2"/>
    <n v="1"/>
  </r>
  <r>
    <n v="2023"/>
    <n v="80205"/>
    <s v="Disability"/>
    <x v="17"/>
    <s v="%"/>
    <s v="Crude prevalence"/>
    <n v="24.8"/>
    <n v="34967"/>
    <s v="Cole"/>
    <n v="80205"/>
    <s v="Cole"/>
    <x v="3"/>
    <n v="2"/>
  </r>
  <r>
    <n v="2023"/>
    <n v="80205"/>
    <s v="Disability"/>
    <x v="17"/>
    <s v="%"/>
    <s v="Crude prevalence"/>
    <n v="24.8"/>
    <n v="34967"/>
    <s v="Whittier"/>
    <n v="80205"/>
    <s v="Whittier"/>
    <x v="3"/>
    <n v="1"/>
  </r>
  <r>
    <n v="2023"/>
    <n v="80205"/>
    <s v="Disability"/>
    <x v="17"/>
    <s v="%"/>
    <s v="Crude prevalence"/>
    <n v="24.8"/>
    <n v="34967"/>
    <s v="Five Points"/>
    <n v="80205"/>
    <s v="Five Points"/>
    <x v="3"/>
    <n v="1"/>
  </r>
  <r>
    <n v="2023"/>
    <n v="80205"/>
    <s v="Disability"/>
    <x v="17"/>
    <s v="%"/>
    <s v="Crude prevalence"/>
    <n v="24.8"/>
    <n v="34967"/>
    <s v="Five Points"/>
    <n v="80205"/>
    <s v="Five Points"/>
    <x v="3"/>
    <n v="1"/>
  </r>
  <r>
    <n v="2023"/>
    <n v="80205"/>
    <s v="Health Status"/>
    <x v="18"/>
    <s v="%"/>
    <s v="Crude prevalence"/>
    <n v="14.5"/>
    <n v="34967"/>
    <s v="City Park"/>
    <n v="80205"/>
    <s v="City Park"/>
    <x v="2"/>
    <n v="1"/>
  </r>
  <r>
    <n v="2023"/>
    <n v="80205"/>
    <s v="Health Status"/>
    <x v="18"/>
    <s v="%"/>
    <s v="Crude prevalence"/>
    <n v="14.5"/>
    <n v="34967"/>
    <s v="Cole"/>
    <n v="80205"/>
    <s v="Cole"/>
    <x v="3"/>
    <n v="2"/>
  </r>
  <r>
    <n v="2023"/>
    <n v="80205"/>
    <s v="Health Status"/>
    <x v="18"/>
    <s v="%"/>
    <s v="Crude prevalence"/>
    <n v="14.5"/>
    <n v="34967"/>
    <s v="Whittier"/>
    <n v="80205"/>
    <s v="Whittier"/>
    <x v="3"/>
    <n v="1"/>
  </r>
  <r>
    <n v="2023"/>
    <n v="80205"/>
    <s v="Health Status"/>
    <x v="18"/>
    <s v="%"/>
    <s v="Crude prevalence"/>
    <n v="14.5"/>
    <n v="34967"/>
    <s v="Five Points"/>
    <n v="80205"/>
    <s v="Five Points"/>
    <x v="3"/>
    <n v="1"/>
  </r>
  <r>
    <n v="2023"/>
    <n v="80205"/>
    <s v="Health Status"/>
    <x v="18"/>
    <s v="%"/>
    <s v="Crude prevalence"/>
    <n v="14.5"/>
    <n v="34967"/>
    <s v="Five Points"/>
    <n v="80205"/>
    <s v="Five Points"/>
    <x v="3"/>
    <n v="1"/>
  </r>
  <r>
    <n v="2023"/>
    <n v="80205"/>
    <s v="Disability"/>
    <x v="19"/>
    <s v="%"/>
    <s v="Crude prevalence"/>
    <n v="4.4000000000000004"/>
    <n v="34967"/>
    <s v="City Park"/>
    <n v="80205"/>
    <s v="City Park"/>
    <x v="2"/>
    <n v="1"/>
  </r>
  <r>
    <n v="2023"/>
    <n v="80205"/>
    <s v="Disability"/>
    <x v="19"/>
    <s v="%"/>
    <s v="Crude prevalence"/>
    <n v="4.4000000000000004"/>
    <n v="34967"/>
    <s v="Cole"/>
    <n v="80205"/>
    <s v="Cole"/>
    <x v="3"/>
    <n v="2"/>
  </r>
  <r>
    <n v="2023"/>
    <n v="80205"/>
    <s v="Disability"/>
    <x v="19"/>
    <s v="%"/>
    <s v="Crude prevalence"/>
    <n v="4.4000000000000004"/>
    <n v="34967"/>
    <s v="Whittier"/>
    <n v="80205"/>
    <s v="Whittier"/>
    <x v="3"/>
    <n v="1"/>
  </r>
  <r>
    <n v="2023"/>
    <n v="80205"/>
    <s v="Disability"/>
    <x v="19"/>
    <s v="%"/>
    <s v="Crude prevalence"/>
    <n v="4.4000000000000004"/>
    <n v="34967"/>
    <s v="Five Points"/>
    <n v="80205"/>
    <s v="Five Points"/>
    <x v="3"/>
    <n v="1"/>
  </r>
  <r>
    <n v="2023"/>
    <n v="80205"/>
    <s v="Disability"/>
    <x v="19"/>
    <s v="%"/>
    <s v="Crude prevalence"/>
    <n v="4.4000000000000004"/>
    <n v="34967"/>
    <s v="Five Points"/>
    <n v="80205"/>
    <s v="Five Points"/>
    <x v="3"/>
    <n v="1"/>
  </r>
  <r>
    <n v="2023"/>
    <n v="80205"/>
    <s v="Health Outcomes"/>
    <x v="20"/>
    <s v="%"/>
    <s v="Crude prevalence"/>
    <n v="25.2"/>
    <n v="34967"/>
    <s v="City Park"/>
    <n v="80205"/>
    <s v="City Park"/>
    <x v="2"/>
    <n v="1"/>
  </r>
  <r>
    <n v="2023"/>
    <n v="80205"/>
    <s v="Health Outcomes"/>
    <x v="20"/>
    <s v="%"/>
    <s v="Crude prevalence"/>
    <n v="25.2"/>
    <n v="34967"/>
    <s v="Cole"/>
    <n v="80205"/>
    <s v="Cole"/>
    <x v="3"/>
    <n v="2"/>
  </r>
  <r>
    <n v="2023"/>
    <n v="80205"/>
    <s v="Health Outcomes"/>
    <x v="20"/>
    <s v="%"/>
    <s v="Crude prevalence"/>
    <n v="25.2"/>
    <n v="34967"/>
    <s v="Whittier"/>
    <n v="80205"/>
    <s v="Whittier"/>
    <x v="3"/>
    <n v="1"/>
  </r>
  <r>
    <n v="2023"/>
    <n v="80205"/>
    <s v="Health Outcomes"/>
    <x v="20"/>
    <s v="%"/>
    <s v="Crude prevalence"/>
    <n v="25.2"/>
    <n v="34967"/>
    <s v="Five Points"/>
    <n v="80205"/>
    <s v="Five Points"/>
    <x v="3"/>
    <n v="1"/>
  </r>
  <r>
    <n v="2023"/>
    <n v="80205"/>
    <s v="Health Outcomes"/>
    <x v="20"/>
    <s v="%"/>
    <s v="Crude prevalence"/>
    <n v="25.2"/>
    <n v="34967"/>
    <s v="Five Points"/>
    <n v="80205"/>
    <s v="Five Points"/>
    <x v="3"/>
    <n v="1"/>
  </r>
  <r>
    <n v="2023"/>
    <n v="80205"/>
    <s v="Disability"/>
    <x v="21"/>
    <s v="%"/>
    <s v="Crude prevalence"/>
    <n v="6.8"/>
    <n v="34967"/>
    <s v="City Park"/>
    <n v="80205"/>
    <s v="City Park"/>
    <x v="2"/>
    <n v="1"/>
  </r>
  <r>
    <n v="2023"/>
    <n v="80205"/>
    <s v="Disability"/>
    <x v="21"/>
    <s v="%"/>
    <s v="Crude prevalence"/>
    <n v="6.8"/>
    <n v="34967"/>
    <s v="Cole"/>
    <n v="80205"/>
    <s v="Cole"/>
    <x v="3"/>
    <n v="2"/>
  </r>
  <r>
    <n v="2023"/>
    <n v="80205"/>
    <s v="Disability"/>
    <x v="21"/>
    <s v="%"/>
    <s v="Crude prevalence"/>
    <n v="6.8"/>
    <n v="34967"/>
    <s v="Whittier"/>
    <n v="80205"/>
    <s v="Whittier"/>
    <x v="3"/>
    <n v="1"/>
  </r>
  <r>
    <n v="2023"/>
    <n v="80205"/>
    <s v="Disability"/>
    <x v="21"/>
    <s v="%"/>
    <s v="Crude prevalence"/>
    <n v="6.8"/>
    <n v="34967"/>
    <s v="Five Points"/>
    <n v="80205"/>
    <s v="Five Points"/>
    <x v="3"/>
    <n v="1"/>
  </r>
  <r>
    <n v="2023"/>
    <n v="80205"/>
    <s v="Disability"/>
    <x v="21"/>
    <s v="%"/>
    <s v="Crude prevalence"/>
    <n v="6.8"/>
    <n v="34967"/>
    <s v="Five Points"/>
    <n v="80205"/>
    <s v="Five Points"/>
    <x v="3"/>
    <n v="1"/>
  </r>
  <r>
    <n v="2023"/>
    <n v="80205"/>
    <s v="Health Risk Behaviors"/>
    <x v="22"/>
    <s v="%"/>
    <s v="Crude prevalence"/>
    <n v="16.8"/>
    <n v="34967"/>
    <s v="City Park"/>
    <n v="80205"/>
    <s v="City Park"/>
    <x v="2"/>
    <n v="1"/>
  </r>
  <r>
    <n v="2023"/>
    <n v="80205"/>
    <s v="Health Risk Behaviors"/>
    <x v="22"/>
    <s v="%"/>
    <s v="Crude prevalence"/>
    <n v="16.8"/>
    <n v="34967"/>
    <s v="Cole"/>
    <n v="80205"/>
    <s v="Cole"/>
    <x v="3"/>
    <n v="2"/>
  </r>
  <r>
    <n v="2023"/>
    <n v="80205"/>
    <s v="Health Risk Behaviors"/>
    <x v="22"/>
    <s v="%"/>
    <s v="Crude prevalence"/>
    <n v="16.8"/>
    <n v="34967"/>
    <s v="Whittier"/>
    <n v="80205"/>
    <s v="Whittier"/>
    <x v="3"/>
    <n v="1"/>
  </r>
  <r>
    <n v="2023"/>
    <n v="80205"/>
    <s v="Health Risk Behaviors"/>
    <x v="22"/>
    <s v="%"/>
    <s v="Crude prevalence"/>
    <n v="16.8"/>
    <n v="34967"/>
    <s v="Five Points"/>
    <n v="80205"/>
    <s v="Five Points"/>
    <x v="3"/>
    <n v="1"/>
  </r>
  <r>
    <n v="2023"/>
    <n v="80205"/>
    <s v="Health Risk Behaviors"/>
    <x v="22"/>
    <s v="%"/>
    <s v="Crude prevalence"/>
    <n v="16.8"/>
    <n v="34967"/>
    <s v="Five Points"/>
    <n v="80205"/>
    <s v="Five Points"/>
    <x v="3"/>
    <n v="1"/>
  </r>
  <r>
    <n v="2022"/>
    <n v="80205"/>
    <s v="Prevention"/>
    <x v="23"/>
    <s v="%"/>
    <s v="Crude prevalence"/>
    <n v="72.599999999999994"/>
    <n v="34967"/>
    <s v="City Park"/>
    <n v="80205"/>
    <s v="City Park"/>
    <x v="2"/>
    <n v="1"/>
  </r>
  <r>
    <n v="2022"/>
    <n v="80205"/>
    <s v="Prevention"/>
    <x v="23"/>
    <s v="%"/>
    <s v="Crude prevalence"/>
    <n v="72.599999999999994"/>
    <n v="34967"/>
    <s v="Cole"/>
    <n v="80205"/>
    <s v="Cole"/>
    <x v="3"/>
    <n v="2"/>
  </r>
  <r>
    <n v="2022"/>
    <n v="80205"/>
    <s v="Prevention"/>
    <x v="23"/>
    <s v="%"/>
    <s v="Crude prevalence"/>
    <n v="72.599999999999994"/>
    <n v="34967"/>
    <s v="Whittier"/>
    <n v="80205"/>
    <s v="Whittier"/>
    <x v="3"/>
    <n v="1"/>
  </r>
  <r>
    <n v="2022"/>
    <n v="80205"/>
    <s v="Prevention"/>
    <x v="23"/>
    <s v="%"/>
    <s v="Crude prevalence"/>
    <n v="72.599999999999994"/>
    <n v="34967"/>
    <s v="Five Points"/>
    <n v="80205"/>
    <s v="Five Points"/>
    <x v="3"/>
    <n v="1"/>
  </r>
  <r>
    <n v="2022"/>
    <n v="80205"/>
    <s v="Prevention"/>
    <x v="23"/>
    <s v="%"/>
    <s v="Crude prevalence"/>
    <n v="72.599999999999994"/>
    <n v="34967"/>
    <s v="Five Points"/>
    <n v="80205"/>
    <s v="Five Points"/>
    <x v="3"/>
    <n v="1"/>
  </r>
  <r>
    <n v="2023"/>
    <n v="80205"/>
    <s v="Health Status"/>
    <x v="24"/>
    <s v="%"/>
    <s v="Crude prevalence"/>
    <n v="16.600000000000001"/>
    <n v="34967"/>
    <s v="City Park"/>
    <n v="80205"/>
    <s v="City Park"/>
    <x v="2"/>
    <n v="1"/>
  </r>
  <r>
    <n v="2023"/>
    <n v="80205"/>
    <s v="Health Status"/>
    <x v="24"/>
    <s v="%"/>
    <s v="Crude prevalence"/>
    <n v="16.600000000000001"/>
    <n v="34967"/>
    <s v="Cole"/>
    <n v="80205"/>
    <s v="Cole"/>
    <x v="3"/>
    <n v="2"/>
  </r>
  <r>
    <n v="2023"/>
    <n v="80205"/>
    <s v="Health Status"/>
    <x v="24"/>
    <s v="%"/>
    <s v="Crude prevalence"/>
    <n v="16.600000000000001"/>
    <n v="34967"/>
    <s v="Whittier"/>
    <n v="80205"/>
    <s v="Whittier"/>
    <x v="3"/>
    <n v="1"/>
  </r>
  <r>
    <n v="2023"/>
    <n v="80205"/>
    <s v="Health Status"/>
    <x v="24"/>
    <s v="%"/>
    <s v="Crude prevalence"/>
    <n v="16.600000000000001"/>
    <n v="34967"/>
    <s v="Five Points"/>
    <n v="80205"/>
    <s v="Five Points"/>
    <x v="3"/>
    <n v="1"/>
  </r>
  <r>
    <n v="2023"/>
    <n v="80205"/>
    <s v="Health Status"/>
    <x v="24"/>
    <s v="%"/>
    <s v="Crude prevalence"/>
    <n v="16.600000000000001"/>
    <n v="34967"/>
    <s v="Five Points"/>
    <n v="80205"/>
    <s v="Five Points"/>
    <x v="3"/>
    <n v="1"/>
  </r>
  <r>
    <n v="2023"/>
    <n v="80205"/>
    <s v="Disability"/>
    <x v="25"/>
    <s v="%"/>
    <s v="Crude prevalence"/>
    <n v="8.1999999999999993"/>
    <n v="34967"/>
    <s v="City Park"/>
    <n v="80205"/>
    <s v="City Park"/>
    <x v="2"/>
    <n v="1"/>
  </r>
  <r>
    <n v="2023"/>
    <n v="80205"/>
    <s v="Disability"/>
    <x v="25"/>
    <s v="%"/>
    <s v="Crude prevalence"/>
    <n v="8.1999999999999993"/>
    <n v="34967"/>
    <s v="Cole"/>
    <n v="80205"/>
    <s v="Cole"/>
    <x v="3"/>
    <n v="2"/>
  </r>
  <r>
    <n v="2023"/>
    <n v="80205"/>
    <s v="Disability"/>
    <x v="25"/>
    <s v="%"/>
    <s v="Crude prevalence"/>
    <n v="8.1999999999999993"/>
    <n v="34967"/>
    <s v="Whittier"/>
    <n v="80205"/>
    <s v="Whittier"/>
    <x v="3"/>
    <n v="1"/>
  </r>
  <r>
    <n v="2023"/>
    <n v="80205"/>
    <s v="Disability"/>
    <x v="25"/>
    <s v="%"/>
    <s v="Crude prevalence"/>
    <n v="8.1999999999999993"/>
    <n v="34967"/>
    <s v="Five Points"/>
    <n v="80205"/>
    <s v="Five Points"/>
    <x v="3"/>
    <n v="1"/>
  </r>
  <r>
    <n v="2023"/>
    <n v="80205"/>
    <s v="Disability"/>
    <x v="25"/>
    <s v="%"/>
    <s v="Crude prevalence"/>
    <n v="8.1999999999999993"/>
    <n v="34967"/>
    <s v="Five Points"/>
    <n v="80205"/>
    <s v="Five Points"/>
    <x v="3"/>
    <n v="1"/>
  </r>
  <r>
    <n v="2023"/>
    <n v="80205"/>
    <s v="Health Outcomes"/>
    <x v="26"/>
    <s v="%"/>
    <s v="Crude prevalence"/>
    <n v="23.1"/>
    <n v="34967"/>
    <s v="City Park"/>
    <n v="80205"/>
    <s v="City Park"/>
    <x v="2"/>
    <n v="1"/>
  </r>
  <r>
    <n v="2023"/>
    <n v="80205"/>
    <s v="Health Outcomes"/>
    <x v="26"/>
    <s v="%"/>
    <s v="Crude prevalence"/>
    <n v="23.1"/>
    <n v="34967"/>
    <s v="Cole"/>
    <n v="80205"/>
    <s v="Cole"/>
    <x v="3"/>
    <n v="2"/>
  </r>
  <r>
    <n v="2023"/>
    <n v="80205"/>
    <s v="Health Outcomes"/>
    <x v="26"/>
    <s v="%"/>
    <s v="Crude prevalence"/>
    <n v="23.1"/>
    <n v="34967"/>
    <s v="Whittier"/>
    <n v="80205"/>
    <s v="Whittier"/>
    <x v="3"/>
    <n v="1"/>
  </r>
  <r>
    <n v="2023"/>
    <n v="80205"/>
    <s v="Health Outcomes"/>
    <x v="26"/>
    <s v="%"/>
    <s v="Crude prevalence"/>
    <n v="23.1"/>
    <n v="34967"/>
    <s v="Five Points"/>
    <n v="80205"/>
    <s v="Five Points"/>
    <x v="3"/>
    <n v="1"/>
  </r>
  <r>
    <n v="2023"/>
    <n v="80205"/>
    <s v="Health Outcomes"/>
    <x v="26"/>
    <s v="%"/>
    <s v="Crude prevalence"/>
    <n v="23.1"/>
    <n v="34967"/>
    <s v="Five Points"/>
    <n v="80205"/>
    <s v="Five Points"/>
    <x v="3"/>
    <n v="1"/>
  </r>
  <r>
    <n v="2023"/>
    <n v="80205"/>
    <s v="Health Status"/>
    <x v="27"/>
    <s v="%"/>
    <s v="Crude prevalence"/>
    <n v="10.5"/>
    <n v="34967"/>
    <s v="City Park"/>
    <n v="80205"/>
    <s v="City Park"/>
    <x v="2"/>
    <n v="1"/>
  </r>
  <r>
    <n v="2023"/>
    <n v="80205"/>
    <s v="Health Status"/>
    <x v="27"/>
    <s v="%"/>
    <s v="Crude prevalence"/>
    <n v="10.5"/>
    <n v="34967"/>
    <s v="Cole"/>
    <n v="80205"/>
    <s v="Cole"/>
    <x v="3"/>
    <n v="2"/>
  </r>
  <r>
    <n v="2023"/>
    <n v="80205"/>
    <s v="Health Status"/>
    <x v="27"/>
    <s v="%"/>
    <s v="Crude prevalence"/>
    <n v="10.5"/>
    <n v="34967"/>
    <s v="Whittier"/>
    <n v="80205"/>
    <s v="Whittier"/>
    <x v="3"/>
    <n v="1"/>
  </r>
  <r>
    <n v="2023"/>
    <n v="80205"/>
    <s v="Health Status"/>
    <x v="27"/>
    <s v="%"/>
    <s v="Crude prevalence"/>
    <n v="10.5"/>
    <n v="34967"/>
    <s v="Five Points"/>
    <n v="80205"/>
    <s v="Five Points"/>
    <x v="3"/>
    <n v="1"/>
  </r>
  <r>
    <n v="2023"/>
    <n v="80205"/>
    <s v="Health Status"/>
    <x v="27"/>
    <s v="%"/>
    <s v="Crude prevalence"/>
    <n v="10.5"/>
    <n v="34967"/>
    <s v="Five Points"/>
    <n v="80205"/>
    <s v="Five Points"/>
    <x v="3"/>
    <n v="1"/>
  </r>
  <r>
    <n v="2023"/>
    <n v="80205"/>
    <s v="Disability"/>
    <x v="28"/>
    <s v="%"/>
    <s v="Crude prevalence"/>
    <n v="2.8"/>
    <n v="34967"/>
    <s v="City Park"/>
    <n v="80205"/>
    <s v="City Park"/>
    <x v="2"/>
    <n v="1"/>
  </r>
  <r>
    <n v="2023"/>
    <n v="80205"/>
    <s v="Disability"/>
    <x v="28"/>
    <s v="%"/>
    <s v="Crude prevalence"/>
    <n v="2.8"/>
    <n v="34967"/>
    <s v="Cole"/>
    <n v="80205"/>
    <s v="Cole"/>
    <x v="3"/>
    <n v="2"/>
  </r>
  <r>
    <n v="2023"/>
    <n v="80205"/>
    <s v="Disability"/>
    <x v="28"/>
    <s v="%"/>
    <s v="Crude prevalence"/>
    <n v="2.8"/>
    <n v="34967"/>
    <s v="Whittier"/>
    <n v="80205"/>
    <s v="Whittier"/>
    <x v="3"/>
    <n v="1"/>
  </r>
  <r>
    <n v="2023"/>
    <n v="80205"/>
    <s v="Disability"/>
    <x v="28"/>
    <s v="%"/>
    <s v="Crude prevalence"/>
    <n v="2.8"/>
    <n v="34967"/>
    <s v="Five Points"/>
    <n v="80205"/>
    <s v="Five Points"/>
    <x v="3"/>
    <n v="1"/>
  </r>
  <r>
    <n v="2023"/>
    <n v="80205"/>
    <s v="Disability"/>
    <x v="28"/>
    <s v="%"/>
    <s v="Crude prevalence"/>
    <n v="2.8"/>
    <n v="34967"/>
    <s v="Five Points"/>
    <n v="80205"/>
    <s v="Five Points"/>
    <x v="3"/>
    <n v="1"/>
  </r>
  <r>
    <n v="2022"/>
    <n v="80205"/>
    <s v="Health Risk Behaviors"/>
    <x v="29"/>
    <s v="%"/>
    <s v="Crude prevalence"/>
    <n v="30.3"/>
    <n v="34967"/>
    <s v="City Park"/>
    <n v="80205"/>
    <s v="City Park"/>
    <x v="2"/>
    <n v="1"/>
  </r>
  <r>
    <n v="2022"/>
    <n v="80205"/>
    <s v="Health Risk Behaviors"/>
    <x v="29"/>
    <s v="%"/>
    <s v="Crude prevalence"/>
    <n v="30.3"/>
    <n v="34967"/>
    <s v="Cole"/>
    <n v="80205"/>
    <s v="Cole"/>
    <x v="3"/>
    <n v="2"/>
  </r>
  <r>
    <n v="2022"/>
    <n v="80205"/>
    <s v="Health Risk Behaviors"/>
    <x v="29"/>
    <s v="%"/>
    <s v="Crude prevalence"/>
    <n v="30.3"/>
    <n v="34967"/>
    <s v="Whittier"/>
    <n v="80205"/>
    <s v="Whittier"/>
    <x v="3"/>
    <n v="1"/>
  </r>
  <r>
    <n v="2022"/>
    <n v="80205"/>
    <s v="Health Risk Behaviors"/>
    <x v="29"/>
    <s v="%"/>
    <s v="Crude prevalence"/>
    <n v="30.3"/>
    <n v="34967"/>
    <s v="Five Points"/>
    <n v="80205"/>
    <s v="Five Points"/>
    <x v="3"/>
    <n v="1"/>
  </r>
  <r>
    <n v="2022"/>
    <n v="80205"/>
    <s v="Health Risk Behaviors"/>
    <x v="29"/>
    <s v="%"/>
    <s v="Crude prevalence"/>
    <n v="30.3"/>
    <n v="34967"/>
    <s v="Five Points"/>
    <n v="80205"/>
    <s v="Five Points"/>
    <x v="3"/>
    <n v="1"/>
  </r>
  <r>
    <n v="2023"/>
    <n v="80205"/>
    <s v="Health Outcomes"/>
    <x v="30"/>
    <s v="%"/>
    <s v="Crude prevalence"/>
    <n v="2.1"/>
    <n v="34967"/>
    <s v="City Park"/>
    <n v="80205"/>
    <s v="City Park"/>
    <x v="2"/>
    <n v="1"/>
  </r>
  <r>
    <n v="2023"/>
    <n v="80205"/>
    <s v="Health Outcomes"/>
    <x v="30"/>
    <s v="%"/>
    <s v="Crude prevalence"/>
    <n v="2.1"/>
    <n v="34967"/>
    <s v="Cole"/>
    <n v="80205"/>
    <s v="Cole"/>
    <x v="3"/>
    <n v="2"/>
  </r>
  <r>
    <n v="2023"/>
    <n v="80205"/>
    <s v="Health Outcomes"/>
    <x v="30"/>
    <s v="%"/>
    <s v="Crude prevalence"/>
    <n v="2.1"/>
    <n v="34967"/>
    <s v="Whittier"/>
    <n v="80205"/>
    <s v="Whittier"/>
    <x v="3"/>
    <n v="1"/>
  </r>
  <r>
    <n v="2023"/>
    <n v="80205"/>
    <s v="Health Outcomes"/>
    <x v="30"/>
    <s v="%"/>
    <s v="Crude prevalence"/>
    <n v="2.1"/>
    <n v="34967"/>
    <s v="Five Points"/>
    <n v="80205"/>
    <s v="Five Points"/>
    <x v="3"/>
    <n v="1"/>
  </r>
  <r>
    <n v="2023"/>
    <n v="80205"/>
    <s v="Health Outcomes"/>
    <x v="30"/>
    <s v="%"/>
    <s v="Crude prevalence"/>
    <n v="2.1"/>
    <n v="34967"/>
    <s v="Five Points"/>
    <n v="80205"/>
    <s v="Five Points"/>
    <x v="3"/>
    <n v="1"/>
  </r>
  <r>
    <n v="2022"/>
    <n v="80205"/>
    <s v="Health Outcomes"/>
    <x v="31"/>
    <s v="%"/>
    <s v="Crude prevalence"/>
    <n v="11"/>
    <n v="34967"/>
    <s v="City Park"/>
    <n v="80205"/>
    <s v="City Park"/>
    <x v="2"/>
    <n v="1"/>
  </r>
  <r>
    <n v="2022"/>
    <n v="80205"/>
    <s v="Health Outcomes"/>
    <x v="31"/>
    <s v="%"/>
    <s v="Crude prevalence"/>
    <n v="11"/>
    <n v="34967"/>
    <s v="Cole"/>
    <n v="80205"/>
    <s v="Cole"/>
    <x v="3"/>
    <n v="2"/>
  </r>
  <r>
    <n v="2022"/>
    <n v="80205"/>
    <s v="Health Outcomes"/>
    <x v="31"/>
    <s v="%"/>
    <s v="Crude prevalence"/>
    <n v="11"/>
    <n v="34967"/>
    <s v="Whittier"/>
    <n v="80205"/>
    <s v="Whittier"/>
    <x v="3"/>
    <n v="1"/>
  </r>
  <r>
    <n v="2022"/>
    <n v="80205"/>
    <s v="Health Outcomes"/>
    <x v="31"/>
    <s v="%"/>
    <s v="Crude prevalence"/>
    <n v="11"/>
    <n v="34967"/>
    <s v="Five Points"/>
    <n v="80205"/>
    <s v="Five Points"/>
    <x v="3"/>
    <n v="1"/>
  </r>
  <r>
    <n v="2022"/>
    <n v="80205"/>
    <s v="Health Outcomes"/>
    <x v="31"/>
    <s v="%"/>
    <s v="Crude prevalence"/>
    <n v="11"/>
    <n v="34967"/>
    <s v="Five Points"/>
    <n v="80205"/>
    <s v="Five Points"/>
    <x v="3"/>
    <n v="1"/>
  </r>
  <r>
    <n v="2023"/>
    <n v="80205"/>
    <s v="Disability"/>
    <x v="32"/>
    <s v="%"/>
    <s v="Crude prevalence"/>
    <n v="4.3"/>
    <n v="34967"/>
    <s v="City Park"/>
    <n v="80205"/>
    <s v="City Park"/>
    <x v="2"/>
    <n v="1"/>
  </r>
  <r>
    <n v="2023"/>
    <n v="80205"/>
    <s v="Disability"/>
    <x v="32"/>
    <s v="%"/>
    <s v="Crude prevalence"/>
    <n v="4.3"/>
    <n v="34967"/>
    <s v="Cole"/>
    <n v="80205"/>
    <s v="Cole"/>
    <x v="3"/>
    <n v="2"/>
  </r>
  <r>
    <n v="2023"/>
    <n v="80205"/>
    <s v="Disability"/>
    <x v="32"/>
    <s v="%"/>
    <s v="Crude prevalence"/>
    <n v="4.3"/>
    <n v="34967"/>
    <s v="Whittier"/>
    <n v="80205"/>
    <s v="Whittier"/>
    <x v="3"/>
    <n v="1"/>
  </r>
  <r>
    <n v="2023"/>
    <n v="80205"/>
    <s v="Disability"/>
    <x v="32"/>
    <s v="%"/>
    <s v="Crude prevalence"/>
    <n v="4.3"/>
    <n v="34967"/>
    <s v="Five Points"/>
    <n v="80205"/>
    <s v="Five Points"/>
    <x v="3"/>
    <n v="1"/>
  </r>
  <r>
    <n v="2023"/>
    <n v="80205"/>
    <s v="Disability"/>
    <x v="32"/>
    <s v="%"/>
    <s v="Crude prevalence"/>
    <n v="4.3"/>
    <n v="34967"/>
    <s v="Five Points"/>
    <n v="80205"/>
    <s v="Five Points"/>
    <x v="3"/>
    <n v="1"/>
  </r>
  <r>
    <n v="2023"/>
    <n v="80206"/>
    <s v="Prevention"/>
    <x v="0"/>
    <s v="%"/>
    <s v="Crude prevalence"/>
    <n v="7.4"/>
    <n v="26108"/>
    <s v="City Park"/>
    <n v="80206"/>
    <s v="City Park"/>
    <x v="2"/>
    <n v="1"/>
  </r>
  <r>
    <n v="2023"/>
    <n v="80206"/>
    <s v="Prevention"/>
    <x v="0"/>
    <s v="%"/>
    <s v="Crude prevalence"/>
    <n v="7.4"/>
    <n v="26108"/>
    <s v="Cheesman Park"/>
    <n v="80206"/>
    <s v="Cheesman Park"/>
    <x v="0"/>
    <n v="2"/>
  </r>
  <r>
    <n v="2023"/>
    <n v="80206"/>
    <s v="Prevention"/>
    <x v="0"/>
    <s v="%"/>
    <s v="Crude prevalence"/>
    <n v="7.4"/>
    <n v="26108"/>
    <s v="Cherry Creek"/>
    <n v="80206"/>
    <s v="Cherry Creek"/>
    <x v="3"/>
    <n v="4"/>
  </r>
  <r>
    <n v="2023"/>
    <n v="80206"/>
    <s v="Prevention"/>
    <x v="0"/>
    <s v="%"/>
    <s v="Crude prevalence"/>
    <n v="7.4"/>
    <n v="26108"/>
    <s v="Congress Park"/>
    <n v="80206"/>
    <s v="Congress Park"/>
    <x v="2"/>
    <n v="1"/>
  </r>
  <r>
    <n v="2023"/>
    <n v="80206"/>
    <s v="Health Outcomes"/>
    <x v="1"/>
    <s v="%"/>
    <s v="Crude prevalence"/>
    <n v="18.600000000000001"/>
    <n v="26108"/>
    <s v="City Park"/>
    <n v="80206"/>
    <s v="City Park"/>
    <x v="2"/>
    <n v="2"/>
  </r>
  <r>
    <n v="2023"/>
    <n v="80206"/>
    <s v="Health Outcomes"/>
    <x v="1"/>
    <s v="%"/>
    <s v="Crude prevalence"/>
    <n v="18.600000000000001"/>
    <n v="26108"/>
    <s v="Cheesman Park"/>
    <n v="80206"/>
    <s v="Cheesman Park"/>
    <x v="0"/>
    <n v="2"/>
  </r>
  <r>
    <n v="2023"/>
    <n v="80206"/>
    <s v="Health Outcomes"/>
    <x v="1"/>
    <s v="%"/>
    <s v="Crude prevalence"/>
    <n v="18.600000000000001"/>
    <n v="26108"/>
    <s v="Cherry Creek"/>
    <n v="80206"/>
    <s v="Cherry Creek"/>
    <x v="3"/>
    <n v="4"/>
  </r>
  <r>
    <n v="2023"/>
    <n v="80206"/>
    <s v="Health Outcomes"/>
    <x v="1"/>
    <s v="%"/>
    <s v="Crude prevalence"/>
    <n v="18.600000000000001"/>
    <n v="26108"/>
    <s v="Congress Park"/>
    <n v="80206"/>
    <s v="Congress Park"/>
    <x v="2"/>
    <n v="1"/>
  </r>
  <r>
    <n v="2023"/>
    <n v="80206"/>
    <s v="Health Risk Behaviors"/>
    <x v="2"/>
    <s v="%"/>
    <s v="Crude prevalence"/>
    <n v="26.9"/>
    <n v="26108"/>
    <s v="City Park"/>
    <n v="80206"/>
    <s v="City Park"/>
    <x v="2"/>
    <n v="2"/>
  </r>
  <r>
    <n v="2023"/>
    <n v="80206"/>
    <s v="Health Risk Behaviors"/>
    <x v="2"/>
    <s v="%"/>
    <s v="Crude prevalence"/>
    <n v="26.9"/>
    <n v="26108"/>
    <s v="Cheesman Park"/>
    <n v="80206"/>
    <s v="Cheesman Park"/>
    <x v="0"/>
    <n v="2"/>
  </r>
  <r>
    <n v="2023"/>
    <n v="80206"/>
    <s v="Health Risk Behaviors"/>
    <x v="2"/>
    <s v="%"/>
    <s v="Crude prevalence"/>
    <n v="26.9"/>
    <n v="26108"/>
    <s v="Cherry Creek"/>
    <n v="80206"/>
    <s v="Cherry Creek"/>
    <x v="3"/>
    <n v="4"/>
  </r>
  <r>
    <n v="2023"/>
    <n v="80206"/>
    <s v="Health Risk Behaviors"/>
    <x v="2"/>
    <s v="%"/>
    <s v="Crude prevalence"/>
    <n v="26.9"/>
    <n v="26108"/>
    <s v="Congress Park"/>
    <n v="80206"/>
    <s v="Congress Park"/>
    <x v="2"/>
    <n v="1"/>
  </r>
  <r>
    <n v="2023"/>
    <n v="80206"/>
    <s v="Health Outcomes"/>
    <x v="3"/>
    <s v="%"/>
    <s v="Crude prevalence"/>
    <n v="20.399999999999999"/>
    <n v="26108"/>
    <s v="City Park"/>
    <n v="80206"/>
    <s v="City Park"/>
    <x v="2"/>
    <n v="2"/>
  </r>
  <r>
    <n v="2023"/>
    <n v="80206"/>
    <s v="Health Outcomes"/>
    <x v="3"/>
    <s v="%"/>
    <s v="Crude prevalence"/>
    <n v="20.399999999999999"/>
    <n v="26108"/>
    <s v="Cheesman Park"/>
    <n v="80206"/>
    <s v="Cheesman Park"/>
    <x v="0"/>
    <n v="2"/>
  </r>
  <r>
    <n v="2023"/>
    <n v="80206"/>
    <s v="Health Outcomes"/>
    <x v="3"/>
    <s v="%"/>
    <s v="Crude prevalence"/>
    <n v="20.399999999999999"/>
    <n v="26108"/>
    <s v="Cherry Creek"/>
    <n v="80206"/>
    <s v="Cherry Creek"/>
    <x v="3"/>
    <n v="4"/>
  </r>
  <r>
    <n v="2023"/>
    <n v="80206"/>
    <s v="Health Outcomes"/>
    <x v="3"/>
    <s v="%"/>
    <s v="Crude prevalence"/>
    <n v="20.399999999999999"/>
    <n v="26108"/>
    <s v="Congress Park"/>
    <n v="80206"/>
    <s v="Congress Park"/>
    <x v="2"/>
    <n v="1"/>
  </r>
  <r>
    <n v="2023"/>
    <n v="80206"/>
    <s v="Prevention"/>
    <x v="4"/>
    <s v="%"/>
    <s v="Crude prevalence"/>
    <n v="65.900000000000006"/>
    <n v="26108"/>
    <s v="City Park"/>
    <n v="80206"/>
    <s v="City Park"/>
    <x v="2"/>
    <n v="2"/>
  </r>
  <r>
    <n v="2023"/>
    <n v="80206"/>
    <s v="Prevention"/>
    <x v="4"/>
    <s v="%"/>
    <s v="Crude prevalence"/>
    <n v="65.900000000000006"/>
    <n v="26108"/>
    <s v="Cheesman Park"/>
    <n v="80206"/>
    <s v="Cheesman Park"/>
    <x v="0"/>
    <n v="2"/>
  </r>
  <r>
    <n v="2023"/>
    <n v="80206"/>
    <s v="Prevention"/>
    <x v="4"/>
    <s v="%"/>
    <s v="Crude prevalence"/>
    <n v="65.900000000000006"/>
    <n v="26108"/>
    <s v="Cherry Creek"/>
    <n v="80206"/>
    <s v="Cherry Creek"/>
    <x v="3"/>
    <n v="4"/>
  </r>
  <r>
    <n v="2023"/>
    <n v="80206"/>
    <s v="Prevention"/>
    <x v="4"/>
    <s v="%"/>
    <s v="Crude prevalence"/>
    <n v="65.900000000000006"/>
    <n v="26108"/>
    <s v="Congress Park"/>
    <n v="80206"/>
    <s v="Congress Park"/>
    <x v="2"/>
    <n v="1"/>
  </r>
  <r>
    <n v="2023"/>
    <n v="80206"/>
    <s v="Health Outcomes"/>
    <x v="5"/>
    <s v="%"/>
    <s v="Crude prevalence"/>
    <n v="7.2"/>
    <n v="26108"/>
    <s v="City Park"/>
    <n v="80206"/>
    <s v="City Park"/>
    <x v="2"/>
    <n v="2"/>
  </r>
  <r>
    <n v="2023"/>
    <n v="80206"/>
    <s v="Health Outcomes"/>
    <x v="5"/>
    <s v="%"/>
    <s v="Crude prevalence"/>
    <n v="7.2"/>
    <n v="26108"/>
    <s v="Cheesman Park"/>
    <n v="80206"/>
    <s v="Cheesman Park"/>
    <x v="0"/>
    <n v="2"/>
  </r>
  <r>
    <n v="2023"/>
    <n v="80206"/>
    <s v="Health Outcomes"/>
    <x v="5"/>
    <s v="%"/>
    <s v="Crude prevalence"/>
    <n v="7.2"/>
    <n v="26108"/>
    <s v="Cherry Creek"/>
    <n v="80206"/>
    <s v="Cherry Creek"/>
    <x v="3"/>
    <n v="4"/>
  </r>
  <r>
    <n v="2023"/>
    <n v="80206"/>
    <s v="Health Outcomes"/>
    <x v="5"/>
    <s v="%"/>
    <s v="Crude prevalence"/>
    <n v="7.2"/>
    <n v="26108"/>
    <s v="Congress Park"/>
    <n v="80206"/>
    <s v="Congress Park"/>
    <x v="2"/>
    <n v="1"/>
  </r>
  <r>
    <n v="2023"/>
    <n v="80206"/>
    <s v="Health Outcomes"/>
    <x v="6"/>
    <s v="%"/>
    <s v="Crude prevalence"/>
    <n v="10.3"/>
    <n v="26108"/>
    <s v="City Park"/>
    <n v="80206"/>
    <s v="City Park"/>
    <x v="2"/>
    <n v="2"/>
  </r>
  <r>
    <n v="2023"/>
    <n v="80206"/>
    <s v="Health Outcomes"/>
    <x v="6"/>
    <s v="%"/>
    <s v="Crude prevalence"/>
    <n v="10.3"/>
    <n v="26108"/>
    <s v="Cheesman Park"/>
    <n v="80206"/>
    <s v="Cheesman Park"/>
    <x v="0"/>
    <n v="2"/>
  </r>
  <r>
    <n v="2023"/>
    <n v="80206"/>
    <s v="Health Outcomes"/>
    <x v="6"/>
    <s v="%"/>
    <s v="Crude prevalence"/>
    <n v="10.3"/>
    <n v="26108"/>
    <s v="Cherry Creek"/>
    <n v="80206"/>
    <s v="Cherry Creek"/>
    <x v="3"/>
    <n v="4"/>
  </r>
  <r>
    <n v="2023"/>
    <n v="80206"/>
    <s v="Health Outcomes"/>
    <x v="6"/>
    <s v="%"/>
    <s v="Crude prevalence"/>
    <n v="10.3"/>
    <n v="26108"/>
    <s v="Congress Park"/>
    <n v="80206"/>
    <s v="Congress Park"/>
    <x v="2"/>
    <n v="1"/>
  </r>
  <r>
    <n v="2023"/>
    <n v="80206"/>
    <s v="Health Outcomes"/>
    <x v="7"/>
    <s v="%"/>
    <s v="Crude prevalence"/>
    <n v="3.8"/>
    <n v="26108"/>
    <s v="City Park"/>
    <n v="80206"/>
    <s v="City Park"/>
    <x v="2"/>
    <n v="2"/>
  </r>
  <r>
    <n v="2023"/>
    <n v="80206"/>
    <s v="Health Outcomes"/>
    <x v="7"/>
    <s v="%"/>
    <s v="Crude prevalence"/>
    <n v="3.8"/>
    <n v="26108"/>
    <s v="Cheesman Park"/>
    <n v="80206"/>
    <s v="Cheesman Park"/>
    <x v="0"/>
    <n v="2"/>
  </r>
  <r>
    <n v="2023"/>
    <n v="80206"/>
    <s v="Health Outcomes"/>
    <x v="7"/>
    <s v="%"/>
    <s v="Crude prevalence"/>
    <n v="3.8"/>
    <n v="26108"/>
    <s v="Cherry Creek"/>
    <n v="80206"/>
    <s v="Cherry Creek"/>
    <x v="3"/>
    <n v="4"/>
  </r>
  <r>
    <n v="2023"/>
    <n v="80206"/>
    <s v="Health Outcomes"/>
    <x v="7"/>
    <s v="%"/>
    <s v="Crude prevalence"/>
    <n v="3.8"/>
    <n v="26108"/>
    <s v="Congress Park"/>
    <n v="80206"/>
    <s v="Congress Park"/>
    <x v="2"/>
    <n v="1"/>
  </r>
  <r>
    <n v="2023"/>
    <n v="80206"/>
    <s v="Prevention"/>
    <x v="8"/>
    <s v="%"/>
    <s v="Crude prevalence"/>
    <n v="70.7"/>
    <n v="26108"/>
    <s v="City Park"/>
    <n v="80206"/>
    <s v="City Park"/>
    <x v="2"/>
    <n v="2"/>
  </r>
  <r>
    <n v="2023"/>
    <n v="80206"/>
    <s v="Prevention"/>
    <x v="8"/>
    <s v="%"/>
    <s v="Crude prevalence"/>
    <n v="70.7"/>
    <n v="26108"/>
    <s v="Cheesman Park"/>
    <n v="80206"/>
    <s v="Cheesman Park"/>
    <x v="0"/>
    <n v="2"/>
  </r>
  <r>
    <n v="2023"/>
    <n v="80206"/>
    <s v="Prevention"/>
    <x v="8"/>
    <s v="%"/>
    <s v="Crude prevalence"/>
    <n v="70.7"/>
    <n v="26108"/>
    <s v="Cherry Creek"/>
    <n v="80206"/>
    <s v="Cherry Creek"/>
    <x v="3"/>
    <n v="4"/>
  </r>
  <r>
    <n v="2023"/>
    <n v="80206"/>
    <s v="Prevention"/>
    <x v="8"/>
    <s v="%"/>
    <s v="Crude prevalence"/>
    <n v="70.7"/>
    <n v="26108"/>
    <s v="Congress Park"/>
    <n v="80206"/>
    <s v="Congress Park"/>
    <x v="2"/>
    <n v="1"/>
  </r>
  <r>
    <n v="2023"/>
    <n v="80206"/>
    <s v="Prevention"/>
    <x v="9"/>
    <s v="%"/>
    <s v="Crude prevalence"/>
    <n v="86.1"/>
    <n v="26108"/>
    <s v="City Park"/>
    <n v="80206"/>
    <s v="City Park"/>
    <x v="2"/>
    <n v="2"/>
  </r>
  <r>
    <n v="2023"/>
    <n v="80206"/>
    <s v="Prevention"/>
    <x v="9"/>
    <s v="%"/>
    <s v="Crude prevalence"/>
    <n v="86.1"/>
    <n v="26108"/>
    <s v="Cheesman Park"/>
    <n v="80206"/>
    <s v="Cheesman Park"/>
    <x v="0"/>
    <n v="2"/>
  </r>
  <r>
    <n v="2023"/>
    <n v="80206"/>
    <s v="Prevention"/>
    <x v="9"/>
    <s v="%"/>
    <s v="Crude prevalence"/>
    <n v="86.1"/>
    <n v="26108"/>
    <s v="Cherry Creek"/>
    <n v="80206"/>
    <s v="Cherry Creek"/>
    <x v="3"/>
    <n v="4"/>
  </r>
  <r>
    <n v="2023"/>
    <n v="80206"/>
    <s v="Prevention"/>
    <x v="9"/>
    <s v="%"/>
    <s v="Crude prevalence"/>
    <n v="86.1"/>
    <n v="26108"/>
    <s v="Congress Park"/>
    <n v="80206"/>
    <s v="Congress Park"/>
    <x v="2"/>
    <n v="1"/>
  </r>
  <r>
    <n v="2023"/>
    <n v="80206"/>
    <s v="Disability"/>
    <x v="10"/>
    <s v="%"/>
    <s v="Crude prevalence"/>
    <n v="11.2"/>
    <n v="26108"/>
    <s v="City Park"/>
    <n v="80206"/>
    <s v="City Park"/>
    <x v="2"/>
    <n v="2"/>
  </r>
  <r>
    <n v="2023"/>
    <n v="80206"/>
    <s v="Disability"/>
    <x v="10"/>
    <s v="%"/>
    <s v="Crude prevalence"/>
    <n v="11.2"/>
    <n v="26108"/>
    <s v="Cheesman Park"/>
    <n v="80206"/>
    <s v="Cheesman Park"/>
    <x v="0"/>
    <n v="2"/>
  </r>
  <r>
    <n v="2023"/>
    <n v="80206"/>
    <s v="Disability"/>
    <x v="10"/>
    <s v="%"/>
    <s v="Crude prevalence"/>
    <n v="11.2"/>
    <n v="26108"/>
    <s v="Cherry Creek"/>
    <n v="80206"/>
    <s v="Cherry Creek"/>
    <x v="3"/>
    <n v="4"/>
  </r>
  <r>
    <n v="2023"/>
    <n v="80206"/>
    <s v="Disability"/>
    <x v="10"/>
    <s v="%"/>
    <s v="Crude prevalence"/>
    <n v="11.2"/>
    <n v="26108"/>
    <s v="Congress Park"/>
    <n v="80206"/>
    <s v="Congress Park"/>
    <x v="2"/>
    <n v="1"/>
  </r>
  <r>
    <n v="2022"/>
    <n v="80206"/>
    <s v="Prevention"/>
    <x v="11"/>
    <s v="%"/>
    <s v="Crude prevalence"/>
    <n v="68"/>
    <n v="26108"/>
    <s v="City Park"/>
    <n v="80206"/>
    <s v="City Park"/>
    <x v="2"/>
    <n v="2"/>
  </r>
  <r>
    <n v="2022"/>
    <n v="80206"/>
    <s v="Prevention"/>
    <x v="11"/>
    <s v="%"/>
    <s v="Crude prevalence"/>
    <n v="68"/>
    <n v="26108"/>
    <s v="Cheesman Park"/>
    <n v="80206"/>
    <s v="Cheesman Park"/>
    <x v="0"/>
    <n v="2"/>
  </r>
  <r>
    <n v="2022"/>
    <n v="80206"/>
    <s v="Prevention"/>
    <x v="11"/>
    <s v="%"/>
    <s v="Crude prevalence"/>
    <n v="68"/>
    <n v="26108"/>
    <s v="Cherry Creek"/>
    <n v="80206"/>
    <s v="Cherry Creek"/>
    <x v="3"/>
    <n v="4"/>
  </r>
  <r>
    <n v="2022"/>
    <n v="80206"/>
    <s v="Prevention"/>
    <x v="11"/>
    <s v="%"/>
    <s v="Crude prevalence"/>
    <n v="68"/>
    <n v="26108"/>
    <s v="Congress Park"/>
    <n v="80206"/>
    <s v="Congress Park"/>
    <x v="2"/>
    <n v="1"/>
  </r>
  <r>
    <n v="2023"/>
    <n v="80206"/>
    <s v="Health Outcomes"/>
    <x v="12"/>
    <s v="%"/>
    <s v="Crude prevalence"/>
    <n v="3.6"/>
    <n v="26108"/>
    <s v="City Park"/>
    <n v="80206"/>
    <s v="City Park"/>
    <x v="2"/>
    <n v="2"/>
  </r>
  <r>
    <n v="2023"/>
    <n v="80206"/>
    <s v="Health Outcomes"/>
    <x v="12"/>
    <s v="%"/>
    <s v="Crude prevalence"/>
    <n v="3.6"/>
    <n v="26108"/>
    <s v="Cheesman Park"/>
    <n v="80206"/>
    <s v="Cheesman Park"/>
    <x v="0"/>
    <n v="2"/>
  </r>
  <r>
    <n v="2023"/>
    <n v="80206"/>
    <s v="Health Outcomes"/>
    <x v="12"/>
    <s v="%"/>
    <s v="Crude prevalence"/>
    <n v="3.6"/>
    <n v="26108"/>
    <s v="Cherry Creek"/>
    <n v="80206"/>
    <s v="Cherry Creek"/>
    <x v="3"/>
    <n v="4"/>
  </r>
  <r>
    <n v="2023"/>
    <n v="80206"/>
    <s v="Health Outcomes"/>
    <x v="12"/>
    <s v="%"/>
    <s v="Crude prevalence"/>
    <n v="3.6"/>
    <n v="26108"/>
    <s v="Congress Park"/>
    <n v="80206"/>
    <s v="Congress Park"/>
    <x v="2"/>
    <n v="1"/>
  </r>
  <r>
    <n v="2023"/>
    <n v="80206"/>
    <s v="Health Risk Behaviors"/>
    <x v="13"/>
    <s v="%"/>
    <s v="Crude prevalence"/>
    <n v="8"/>
    <n v="26108"/>
    <s v="City Park"/>
    <n v="80206"/>
    <s v="City Park"/>
    <x v="2"/>
    <n v="2"/>
  </r>
  <r>
    <n v="2023"/>
    <n v="80206"/>
    <s v="Health Risk Behaviors"/>
    <x v="13"/>
    <s v="%"/>
    <s v="Crude prevalence"/>
    <n v="8"/>
    <n v="26108"/>
    <s v="Cheesman Park"/>
    <n v="80206"/>
    <s v="Cheesman Park"/>
    <x v="0"/>
    <n v="2"/>
  </r>
  <r>
    <n v="2023"/>
    <n v="80206"/>
    <s v="Health Risk Behaviors"/>
    <x v="13"/>
    <s v="%"/>
    <s v="Crude prevalence"/>
    <n v="8"/>
    <n v="26108"/>
    <s v="Cherry Creek"/>
    <n v="80206"/>
    <s v="Cherry Creek"/>
    <x v="3"/>
    <n v="4"/>
  </r>
  <r>
    <n v="2023"/>
    <n v="80206"/>
    <s v="Health Risk Behaviors"/>
    <x v="13"/>
    <s v="%"/>
    <s v="Crude prevalence"/>
    <n v="8"/>
    <n v="26108"/>
    <s v="Congress Park"/>
    <n v="80206"/>
    <s v="Congress Park"/>
    <x v="2"/>
    <n v="1"/>
  </r>
  <r>
    <n v="2022"/>
    <n v="80206"/>
    <s v="Prevention"/>
    <x v="14"/>
    <s v="%"/>
    <s v="Crude prevalence"/>
    <n v="71.7"/>
    <n v="26108"/>
    <s v="City Park"/>
    <n v="80206"/>
    <s v="City Park"/>
    <x v="2"/>
    <n v="2"/>
  </r>
  <r>
    <n v="2022"/>
    <n v="80206"/>
    <s v="Prevention"/>
    <x v="14"/>
    <s v="%"/>
    <s v="Crude prevalence"/>
    <n v="71.7"/>
    <n v="26108"/>
    <s v="Cheesman Park"/>
    <n v="80206"/>
    <s v="Cheesman Park"/>
    <x v="0"/>
    <n v="2"/>
  </r>
  <r>
    <n v="2022"/>
    <n v="80206"/>
    <s v="Prevention"/>
    <x v="14"/>
    <s v="%"/>
    <s v="Crude prevalence"/>
    <n v="71.7"/>
    <n v="26108"/>
    <s v="Cherry Creek"/>
    <n v="80206"/>
    <s v="Cherry Creek"/>
    <x v="3"/>
    <n v="4"/>
  </r>
  <r>
    <n v="2022"/>
    <n v="80206"/>
    <s v="Prevention"/>
    <x v="14"/>
    <s v="%"/>
    <s v="Crude prevalence"/>
    <n v="71.7"/>
    <n v="26108"/>
    <s v="Congress Park"/>
    <n v="80206"/>
    <s v="Congress Park"/>
    <x v="2"/>
    <n v="1"/>
  </r>
  <r>
    <n v="2023"/>
    <n v="80206"/>
    <s v="Health Outcomes"/>
    <x v="15"/>
    <s v="%"/>
    <s v="Crude prevalence"/>
    <n v="23.9"/>
    <n v="26108"/>
    <s v="City Park"/>
    <n v="80206"/>
    <s v="City Park"/>
    <x v="2"/>
    <n v="2"/>
  </r>
  <r>
    <n v="2023"/>
    <n v="80206"/>
    <s v="Health Outcomes"/>
    <x v="15"/>
    <s v="%"/>
    <s v="Crude prevalence"/>
    <n v="23.9"/>
    <n v="26108"/>
    <s v="Cheesman Park"/>
    <n v="80206"/>
    <s v="Cheesman Park"/>
    <x v="0"/>
    <n v="2"/>
  </r>
  <r>
    <n v="2023"/>
    <n v="80206"/>
    <s v="Health Outcomes"/>
    <x v="15"/>
    <s v="%"/>
    <s v="Crude prevalence"/>
    <n v="23.9"/>
    <n v="26108"/>
    <s v="Cherry Creek"/>
    <n v="80206"/>
    <s v="Cherry Creek"/>
    <x v="3"/>
    <n v="4"/>
  </r>
  <r>
    <n v="2023"/>
    <n v="80206"/>
    <s v="Health Outcomes"/>
    <x v="15"/>
    <s v="%"/>
    <s v="Crude prevalence"/>
    <n v="23.9"/>
    <n v="26108"/>
    <s v="Congress Park"/>
    <n v="80206"/>
    <s v="Congress Park"/>
    <x v="2"/>
    <n v="1"/>
  </r>
  <r>
    <n v="2023"/>
    <n v="80206"/>
    <s v="Health Outcomes"/>
    <x v="16"/>
    <s v="%"/>
    <s v="Crude prevalence"/>
    <n v="5.7"/>
    <n v="26108"/>
    <s v="City Park"/>
    <n v="80206"/>
    <s v="City Park"/>
    <x v="2"/>
    <n v="2"/>
  </r>
  <r>
    <n v="2023"/>
    <n v="80206"/>
    <s v="Health Outcomes"/>
    <x v="16"/>
    <s v="%"/>
    <s v="Crude prevalence"/>
    <n v="5.7"/>
    <n v="26108"/>
    <s v="Cheesman Park"/>
    <n v="80206"/>
    <s v="Cheesman Park"/>
    <x v="0"/>
    <n v="2"/>
  </r>
  <r>
    <n v="2023"/>
    <n v="80206"/>
    <s v="Health Outcomes"/>
    <x v="16"/>
    <s v="%"/>
    <s v="Crude prevalence"/>
    <n v="5.7"/>
    <n v="26108"/>
    <s v="Cherry Creek"/>
    <n v="80206"/>
    <s v="Cherry Creek"/>
    <x v="3"/>
    <n v="4"/>
  </r>
  <r>
    <n v="2023"/>
    <n v="80206"/>
    <s v="Health Outcomes"/>
    <x v="16"/>
    <s v="%"/>
    <s v="Crude prevalence"/>
    <n v="5.7"/>
    <n v="26108"/>
    <s v="Congress Park"/>
    <n v="80206"/>
    <s v="Congress Park"/>
    <x v="2"/>
    <n v="1"/>
  </r>
  <r>
    <n v="2023"/>
    <n v="80206"/>
    <s v="Disability"/>
    <x v="17"/>
    <s v="%"/>
    <s v="Crude prevalence"/>
    <n v="21.1"/>
    <n v="26108"/>
    <s v="City Park"/>
    <n v="80206"/>
    <s v="City Park"/>
    <x v="2"/>
    <n v="2"/>
  </r>
  <r>
    <n v="2023"/>
    <n v="80206"/>
    <s v="Disability"/>
    <x v="17"/>
    <s v="%"/>
    <s v="Crude prevalence"/>
    <n v="21.1"/>
    <n v="26108"/>
    <s v="Cheesman Park"/>
    <n v="80206"/>
    <s v="Cheesman Park"/>
    <x v="0"/>
    <n v="2"/>
  </r>
  <r>
    <n v="2023"/>
    <n v="80206"/>
    <s v="Disability"/>
    <x v="17"/>
    <s v="%"/>
    <s v="Crude prevalence"/>
    <n v="21.1"/>
    <n v="26108"/>
    <s v="Cherry Creek"/>
    <n v="80206"/>
    <s v="Cherry Creek"/>
    <x v="3"/>
    <n v="4"/>
  </r>
  <r>
    <n v="2023"/>
    <n v="80206"/>
    <s v="Disability"/>
    <x v="17"/>
    <s v="%"/>
    <s v="Crude prevalence"/>
    <n v="21.1"/>
    <n v="26108"/>
    <s v="Congress Park"/>
    <n v="80206"/>
    <s v="Congress Park"/>
    <x v="2"/>
    <n v="1"/>
  </r>
  <r>
    <n v="2023"/>
    <n v="80206"/>
    <s v="Health Status"/>
    <x v="18"/>
    <s v="%"/>
    <s v="Crude prevalence"/>
    <n v="10.5"/>
    <n v="26108"/>
    <s v="City Park"/>
    <n v="80206"/>
    <s v="City Park"/>
    <x v="2"/>
    <n v="2"/>
  </r>
  <r>
    <n v="2023"/>
    <n v="80206"/>
    <s v="Health Status"/>
    <x v="18"/>
    <s v="%"/>
    <s v="Crude prevalence"/>
    <n v="10.5"/>
    <n v="26108"/>
    <s v="Cheesman Park"/>
    <n v="80206"/>
    <s v="Cheesman Park"/>
    <x v="0"/>
    <n v="2"/>
  </r>
  <r>
    <n v="2023"/>
    <n v="80206"/>
    <s v="Health Status"/>
    <x v="18"/>
    <s v="%"/>
    <s v="Crude prevalence"/>
    <n v="10.5"/>
    <n v="26108"/>
    <s v="Cherry Creek"/>
    <n v="80206"/>
    <s v="Cherry Creek"/>
    <x v="3"/>
    <n v="4"/>
  </r>
  <r>
    <n v="2023"/>
    <n v="80206"/>
    <s v="Health Status"/>
    <x v="18"/>
    <s v="%"/>
    <s v="Crude prevalence"/>
    <n v="10.5"/>
    <n v="26108"/>
    <s v="Congress Park"/>
    <n v="80206"/>
    <s v="Congress Park"/>
    <x v="2"/>
    <n v="1"/>
  </r>
  <r>
    <n v="2023"/>
    <n v="80206"/>
    <s v="Disability"/>
    <x v="19"/>
    <s v="%"/>
    <s v="Crude prevalence"/>
    <n v="4.8"/>
    <n v="26108"/>
    <s v="City Park"/>
    <n v="80206"/>
    <s v="City Park"/>
    <x v="2"/>
    <n v="2"/>
  </r>
  <r>
    <n v="2023"/>
    <n v="80206"/>
    <s v="Disability"/>
    <x v="19"/>
    <s v="%"/>
    <s v="Crude prevalence"/>
    <n v="4.8"/>
    <n v="26108"/>
    <s v="Cheesman Park"/>
    <n v="80206"/>
    <s v="Cheesman Park"/>
    <x v="0"/>
    <n v="2"/>
  </r>
  <r>
    <n v="2023"/>
    <n v="80206"/>
    <s v="Disability"/>
    <x v="19"/>
    <s v="%"/>
    <s v="Crude prevalence"/>
    <n v="4.8"/>
    <n v="26108"/>
    <s v="Cherry Creek"/>
    <n v="80206"/>
    <s v="Cherry Creek"/>
    <x v="3"/>
    <n v="4"/>
  </r>
  <r>
    <n v="2023"/>
    <n v="80206"/>
    <s v="Disability"/>
    <x v="19"/>
    <s v="%"/>
    <s v="Crude prevalence"/>
    <n v="4.8"/>
    <n v="26108"/>
    <s v="Congress Park"/>
    <n v="80206"/>
    <s v="Congress Park"/>
    <x v="2"/>
    <n v="1"/>
  </r>
  <r>
    <n v="2023"/>
    <n v="80206"/>
    <s v="Health Outcomes"/>
    <x v="20"/>
    <s v="%"/>
    <s v="Crude prevalence"/>
    <n v="28.3"/>
    <n v="26108"/>
    <s v="City Park"/>
    <n v="80206"/>
    <s v="City Park"/>
    <x v="2"/>
    <n v="2"/>
  </r>
  <r>
    <n v="2023"/>
    <n v="80206"/>
    <s v="Health Outcomes"/>
    <x v="20"/>
    <s v="%"/>
    <s v="Crude prevalence"/>
    <n v="28.3"/>
    <n v="26108"/>
    <s v="Cheesman Park"/>
    <n v="80206"/>
    <s v="Cheesman Park"/>
    <x v="0"/>
    <n v="2"/>
  </r>
  <r>
    <n v="2023"/>
    <n v="80206"/>
    <s v="Health Outcomes"/>
    <x v="20"/>
    <s v="%"/>
    <s v="Crude prevalence"/>
    <n v="28.3"/>
    <n v="26108"/>
    <s v="Cherry Creek"/>
    <n v="80206"/>
    <s v="Cherry Creek"/>
    <x v="3"/>
    <n v="4"/>
  </r>
  <r>
    <n v="2023"/>
    <n v="80206"/>
    <s v="Health Outcomes"/>
    <x v="20"/>
    <s v="%"/>
    <s v="Crude prevalence"/>
    <n v="28.3"/>
    <n v="26108"/>
    <s v="Congress Park"/>
    <n v="80206"/>
    <s v="Congress Park"/>
    <x v="2"/>
    <n v="1"/>
  </r>
  <r>
    <n v="2023"/>
    <n v="80206"/>
    <s v="Disability"/>
    <x v="21"/>
    <s v="%"/>
    <s v="Crude prevalence"/>
    <n v="5.0999999999999996"/>
    <n v="26108"/>
    <s v="City Park"/>
    <n v="80206"/>
    <s v="City Park"/>
    <x v="2"/>
    <n v="2"/>
  </r>
  <r>
    <n v="2023"/>
    <n v="80206"/>
    <s v="Disability"/>
    <x v="21"/>
    <s v="%"/>
    <s v="Crude prevalence"/>
    <n v="5.0999999999999996"/>
    <n v="26108"/>
    <s v="Cheesman Park"/>
    <n v="80206"/>
    <s v="Cheesman Park"/>
    <x v="0"/>
    <n v="2"/>
  </r>
  <r>
    <n v="2023"/>
    <n v="80206"/>
    <s v="Disability"/>
    <x v="21"/>
    <s v="%"/>
    <s v="Crude prevalence"/>
    <n v="5.0999999999999996"/>
    <n v="26108"/>
    <s v="Cherry Creek"/>
    <n v="80206"/>
    <s v="Cherry Creek"/>
    <x v="3"/>
    <n v="4"/>
  </r>
  <r>
    <n v="2023"/>
    <n v="80206"/>
    <s v="Disability"/>
    <x v="21"/>
    <s v="%"/>
    <s v="Crude prevalence"/>
    <n v="5.0999999999999996"/>
    <n v="26108"/>
    <s v="Congress Park"/>
    <n v="80206"/>
    <s v="Congress Park"/>
    <x v="2"/>
    <n v="1"/>
  </r>
  <r>
    <n v="2023"/>
    <n v="80206"/>
    <s v="Health Risk Behaviors"/>
    <x v="22"/>
    <s v="%"/>
    <s v="Crude prevalence"/>
    <n v="12.5"/>
    <n v="26108"/>
    <s v="City Park"/>
    <n v="80206"/>
    <s v="City Park"/>
    <x v="2"/>
    <n v="2"/>
  </r>
  <r>
    <n v="2023"/>
    <n v="80206"/>
    <s v="Health Risk Behaviors"/>
    <x v="22"/>
    <s v="%"/>
    <s v="Crude prevalence"/>
    <n v="12.5"/>
    <n v="26108"/>
    <s v="Cheesman Park"/>
    <n v="80206"/>
    <s v="Cheesman Park"/>
    <x v="0"/>
    <n v="2"/>
  </r>
  <r>
    <n v="2023"/>
    <n v="80206"/>
    <s v="Health Risk Behaviors"/>
    <x v="22"/>
    <s v="%"/>
    <s v="Crude prevalence"/>
    <n v="12.5"/>
    <n v="26108"/>
    <s v="Cherry Creek"/>
    <n v="80206"/>
    <s v="Cherry Creek"/>
    <x v="3"/>
    <n v="4"/>
  </r>
  <r>
    <n v="2023"/>
    <n v="80206"/>
    <s v="Health Risk Behaviors"/>
    <x v="22"/>
    <s v="%"/>
    <s v="Crude prevalence"/>
    <n v="12.5"/>
    <n v="26108"/>
    <s v="Congress Park"/>
    <n v="80206"/>
    <s v="Congress Park"/>
    <x v="2"/>
    <n v="1"/>
  </r>
  <r>
    <n v="2022"/>
    <n v="80206"/>
    <s v="Prevention"/>
    <x v="23"/>
    <s v="%"/>
    <s v="Crude prevalence"/>
    <n v="74.400000000000006"/>
    <n v="26108"/>
    <s v="City Park"/>
    <n v="80206"/>
    <s v="City Park"/>
    <x v="2"/>
    <n v="2"/>
  </r>
  <r>
    <n v="2022"/>
    <n v="80206"/>
    <s v="Prevention"/>
    <x v="23"/>
    <s v="%"/>
    <s v="Crude prevalence"/>
    <n v="74.400000000000006"/>
    <n v="26108"/>
    <s v="Cheesman Park"/>
    <n v="80206"/>
    <s v="Cheesman Park"/>
    <x v="0"/>
    <n v="2"/>
  </r>
  <r>
    <n v="2022"/>
    <n v="80206"/>
    <s v="Prevention"/>
    <x v="23"/>
    <s v="%"/>
    <s v="Crude prevalence"/>
    <n v="74.400000000000006"/>
    <n v="26108"/>
    <s v="Cherry Creek"/>
    <n v="80206"/>
    <s v="Cherry Creek"/>
    <x v="3"/>
    <n v="4"/>
  </r>
  <r>
    <n v="2022"/>
    <n v="80206"/>
    <s v="Prevention"/>
    <x v="23"/>
    <s v="%"/>
    <s v="Crude prevalence"/>
    <n v="74.400000000000006"/>
    <n v="26108"/>
    <s v="Congress Park"/>
    <n v="80206"/>
    <s v="Congress Park"/>
    <x v="2"/>
    <n v="1"/>
  </r>
  <r>
    <n v="2023"/>
    <n v="80206"/>
    <s v="Health Status"/>
    <x v="24"/>
    <s v="%"/>
    <s v="Crude prevalence"/>
    <n v="14.2"/>
    <n v="26108"/>
    <s v="City Park"/>
    <n v="80206"/>
    <s v="City Park"/>
    <x v="2"/>
    <n v="2"/>
  </r>
  <r>
    <n v="2023"/>
    <n v="80206"/>
    <s v="Health Status"/>
    <x v="24"/>
    <s v="%"/>
    <s v="Crude prevalence"/>
    <n v="14.2"/>
    <n v="26108"/>
    <s v="Cheesman Park"/>
    <n v="80206"/>
    <s v="Cheesman Park"/>
    <x v="0"/>
    <n v="2"/>
  </r>
  <r>
    <n v="2023"/>
    <n v="80206"/>
    <s v="Health Status"/>
    <x v="24"/>
    <s v="%"/>
    <s v="Crude prevalence"/>
    <n v="14.2"/>
    <n v="26108"/>
    <s v="Cherry Creek"/>
    <n v="80206"/>
    <s v="Cherry Creek"/>
    <x v="3"/>
    <n v="4"/>
  </r>
  <r>
    <n v="2023"/>
    <n v="80206"/>
    <s v="Health Status"/>
    <x v="24"/>
    <s v="%"/>
    <s v="Crude prevalence"/>
    <n v="14.2"/>
    <n v="26108"/>
    <s v="Congress Park"/>
    <n v="80206"/>
    <s v="Congress Park"/>
    <x v="2"/>
    <n v="1"/>
  </r>
  <r>
    <n v="2023"/>
    <n v="80206"/>
    <s v="Disability"/>
    <x v="25"/>
    <s v="%"/>
    <s v="Crude prevalence"/>
    <n v="7"/>
    <n v="26108"/>
    <s v="City Park"/>
    <n v="80206"/>
    <s v="City Park"/>
    <x v="2"/>
    <n v="2"/>
  </r>
  <r>
    <n v="2023"/>
    <n v="80206"/>
    <s v="Disability"/>
    <x v="25"/>
    <s v="%"/>
    <s v="Crude prevalence"/>
    <n v="7"/>
    <n v="26108"/>
    <s v="Cheesman Park"/>
    <n v="80206"/>
    <s v="Cheesman Park"/>
    <x v="0"/>
    <n v="2"/>
  </r>
  <r>
    <n v="2023"/>
    <n v="80206"/>
    <s v="Disability"/>
    <x v="25"/>
    <s v="%"/>
    <s v="Crude prevalence"/>
    <n v="7"/>
    <n v="26108"/>
    <s v="Cherry Creek"/>
    <n v="80206"/>
    <s v="Cherry Creek"/>
    <x v="3"/>
    <n v="4"/>
  </r>
  <r>
    <n v="2023"/>
    <n v="80206"/>
    <s v="Disability"/>
    <x v="25"/>
    <s v="%"/>
    <s v="Crude prevalence"/>
    <n v="7"/>
    <n v="26108"/>
    <s v="Congress Park"/>
    <n v="80206"/>
    <s v="Congress Park"/>
    <x v="2"/>
    <n v="1"/>
  </r>
  <r>
    <n v="2023"/>
    <n v="80206"/>
    <s v="Health Outcomes"/>
    <x v="26"/>
    <s v="%"/>
    <s v="Crude prevalence"/>
    <n v="19.5"/>
    <n v="26108"/>
    <s v="City Park"/>
    <n v="80206"/>
    <s v="City Park"/>
    <x v="2"/>
    <n v="2"/>
  </r>
  <r>
    <n v="2023"/>
    <n v="80206"/>
    <s v="Health Outcomes"/>
    <x v="26"/>
    <s v="%"/>
    <s v="Crude prevalence"/>
    <n v="19.5"/>
    <n v="26108"/>
    <s v="Cheesman Park"/>
    <n v="80206"/>
    <s v="Cheesman Park"/>
    <x v="0"/>
    <n v="2"/>
  </r>
  <r>
    <n v="2023"/>
    <n v="80206"/>
    <s v="Health Outcomes"/>
    <x v="26"/>
    <s v="%"/>
    <s v="Crude prevalence"/>
    <n v="19.5"/>
    <n v="26108"/>
    <s v="Cherry Creek"/>
    <n v="80206"/>
    <s v="Cherry Creek"/>
    <x v="3"/>
    <n v="4"/>
  </r>
  <r>
    <n v="2023"/>
    <n v="80206"/>
    <s v="Health Outcomes"/>
    <x v="26"/>
    <s v="%"/>
    <s v="Crude prevalence"/>
    <n v="19.5"/>
    <n v="26108"/>
    <s v="Congress Park"/>
    <n v="80206"/>
    <s v="Congress Park"/>
    <x v="2"/>
    <n v="1"/>
  </r>
  <r>
    <n v="2023"/>
    <n v="80206"/>
    <s v="Health Status"/>
    <x v="27"/>
    <s v="%"/>
    <s v="Crude prevalence"/>
    <n v="9.1999999999999993"/>
    <n v="26108"/>
    <s v="City Park"/>
    <n v="80206"/>
    <s v="City Park"/>
    <x v="2"/>
    <n v="2"/>
  </r>
  <r>
    <n v="2023"/>
    <n v="80206"/>
    <s v="Health Status"/>
    <x v="27"/>
    <s v="%"/>
    <s v="Crude prevalence"/>
    <n v="9.1999999999999993"/>
    <n v="26108"/>
    <s v="Cheesman Park"/>
    <n v="80206"/>
    <s v="Cheesman Park"/>
    <x v="0"/>
    <n v="2"/>
  </r>
  <r>
    <n v="2023"/>
    <n v="80206"/>
    <s v="Health Status"/>
    <x v="27"/>
    <s v="%"/>
    <s v="Crude prevalence"/>
    <n v="9.1999999999999993"/>
    <n v="26108"/>
    <s v="Cherry Creek"/>
    <n v="80206"/>
    <s v="Cherry Creek"/>
    <x v="3"/>
    <n v="4"/>
  </r>
  <r>
    <n v="2023"/>
    <n v="80206"/>
    <s v="Health Status"/>
    <x v="27"/>
    <s v="%"/>
    <s v="Crude prevalence"/>
    <n v="9.1999999999999993"/>
    <n v="26108"/>
    <s v="Congress Park"/>
    <n v="80206"/>
    <s v="Congress Park"/>
    <x v="2"/>
    <n v="1"/>
  </r>
  <r>
    <n v="2023"/>
    <n v="80206"/>
    <s v="Disability"/>
    <x v="28"/>
    <s v="%"/>
    <s v="Crude prevalence"/>
    <n v="2"/>
    <n v="26108"/>
    <s v="City Park"/>
    <n v="80206"/>
    <s v="City Park"/>
    <x v="2"/>
    <n v="2"/>
  </r>
  <r>
    <n v="2023"/>
    <n v="80206"/>
    <s v="Disability"/>
    <x v="28"/>
    <s v="%"/>
    <s v="Crude prevalence"/>
    <n v="2"/>
    <n v="26108"/>
    <s v="Cheesman Park"/>
    <n v="80206"/>
    <s v="Cheesman Park"/>
    <x v="0"/>
    <n v="2"/>
  </r>
  <r>
    <n v="2023"/>
    <n v="80206"/>
    <s v="Disability"/>
    <x v="28"/>
    <s v="%"/>
    <s v="Crude prevalence"/>
    <n v="2"/>
    <n v="26108"/>
    <s v="Cherry Creek"/>
    <n v="80206"/>
    <s v="Cherry Creek"/>
    <x v="3"/>
    <n v="4"/>
  </r>
  <r>
    <n v="2023"/>
    <n v="80206"/>
    <s v="Disability"/>
    <x v="28"/>
    <s v="%"/>
    <s v="Crude prevalence"/>
    <n v="2"/>
    <n v="26108"/>
    <s v="Congress Park"/>
    <n v="80206"/>
    <s v="Congress Park"/>
    <x v="2"/>
    <n v="1"/>
  </r>
  <r>
    <n v="2022"/>
    <n v="80206"/>
    <s v="Health Risk Behaviors"/>
    <x v="29"/>
    <s v="%"/>
    <s v="Crude prevalence"/>
    <n v="25.9"/>
    <n v="26108"/>
    <s v="City Park"/>
    <n v="80206"/>
    <s v="City Park"/>
    <x v="2"/>
    <n v="2"/>
  </r>
  <r>
    <n v="2022"/>
    <n v="80206"/>
    <s v="Health Risk Behaviors"/>
    <x v="29"/>
    <s v="%"/>
    <s v="Crude prevalence"/>
    <n v="25.9"/>
    <n v="26108"/>
    <s v="Cheesman Park"/>
    <n v="80206"/>
    <s v="Cheesman Park"/>
    <x v="0"/>
    <n v="2"/>
  </r>
  <r>
    <n v="2022"/>
    <n v="80206"/>
    <s v="Health Risk Behaviors"/>
    <x v="29"/>
    <s v="%"/>
    <s v="Crude prevalence"/>
    <n v="25.9"/>
    <n v="26108"/>
    <s v="Cherry Creek"/>
    <n v="80206"/>
    <s v="Cherry Creek"/>
    <x v="3"/>
    <n v="4"/>
  </r>
  <r>
    <n v="2022"/>
    <n v="80206"/>
    <s v="Health Risk Behaviors"/>
    <x v="29"/>
    <s v="%"/>
    <s v="Crude prevalence"/>
    <n v="25.9"/>
    <n v="26108"/>
    <s v="Congress Park"/>
    <n v="80206"/>
    <s v="Congress Park"/>
    <x v="2"/>
    <n v="1"/>
  </r>
  <r>
    <n v="2023"/>
    <n v="80206"/>
    <s v="Health Outcomes"/>
    <x v="30"/>
    <s v="%"/>
    <s v="Crude prevalence"/>
    <n v="2"/>
    <n v="26108"/>
    <s v="City Park"/>
    <n v="80206"/>
    <s v="City Park"/>
    <x v="2"/>
    <n v="2"/>
  </r>
  <r>
    <n v="2023"/>
    <n v="80206"/>
    <s v="Health Outcomes"/>
    <x v="30"/>
    <s v="%"/>
    <s v="Crude prevalence"/>
    <n v="2"/>
    <n v="26108"/>
    <s v="Cheesman Park"/>
    <n v="80206"/>
    <s v="Cheesman Park"/>
    <x v="0"/>
    <n v="2"/>
  </r>
  <r>
    <n v="2023"/>
    <n v="80206"/>
    <s v="Health Outcomes"/>
    <x v="30"/>
    <s v="%"/>
    <s v="Crude prevalence"/>
    <n v="2"/>
    <n v="26108"/>
    <s v="Cherry Creek"/>
    <n v="80206"/>
    <s v="Cherry Creek"/>
    <x v="3"/>
    <n v="4"/>
  </r>
  <r>
    <n v="2023"/>
    <n v="80206"/>
    <s v="Health Outcomes"/>
    <x v="30"/>
    <s v="%"/>
    <s v="Crude prevalence"/>
    <n v="2"/>
    <n v="26108"/>
    <s v="Congress Park"/>
    <n v="80206"/>
    <s v="Congress Park"/>
    <x v="2"/>
    <n v="1"/>
  </r>
  <r>
    <n v="2022"/>
    <n v="80206"/>
    <s v="Health Outcomes"/>
    <x v="31"/>
    <s v="%"/>
    <s v="Crude prevalence"/>
    <n v="6.2"/>
    <n v="26108"/>
    <s v="City Park"/>
    <n v="80206"/>
    <s v="City Park"/>
    <x v="2"/>
    <n v="2"/>
  </r>
  <r>
    <n v="2022"/>
    <n v="80206"/>
    <s v="Health Outcomes"/>
    <x v="31"/>
    <s v="%"/>
    <s v="Crude prevalence"/>
    <n v="6.2"/>
    <n v="26108"/>
    <s v="Cheesman Park"/>
    <n v="80206"/>
    <s v="Cheesman Park"/>
    <x v="0"/>
    <n v="2"/>
  </r>
  <r>
    <n v="2022"/>
    <n v="80206"/>
    <s v="Health Outcomes"/>
    <x v="31"/>
    <s v="%"/>
    <s v="Crude prevalence"/>
    <n v="6.2"/>
    <n v="26108"/>
    <s v="Cherry Creek"/>
    <n v="80206"/>
    <s v="Cherry Creek"/>
    <x v="3"/>
    <n v="4"/>
  </r>
  <r>
    <n v="2022"/>
    <n v="80206"/>
    <s v="Health Outcomes"/>
    <x v="31"/>
    <s v="%"/>
    <s v="Crude prevalence"/>
    <n v="6.2"/>
    <n v="26108"/>
    <s v="Congress Park"/>
    <n v="80206"/>
    <s v="Congress Park"/>
    <x v="2"/>
    <n v="1"/>
  </r>
  <r>
    <n v="2023"/>
    <n v="80206"/>
    <s v="Disability"/>
    <x v="32"/>
    <s v="%"/>
    <s v="Crude prevalence"/>
    <n v="2.9"/>
    <n v="26108"/>
    <s v="City Park"/>
    <n v="80206"/>
    <s v="City Park"/>
    <x v="2"/>
    <n v="2"/>
  </r>
  <r>
    <n v="2023"/>
    <n v="80206"/>
    <s v="Disability"/>
    <x v="32"/>
    <s v="%"/>
    <s v="Crude prevalence"/>
    <n v="2.9"/>
    <n v="26108"/>
    <s v="Cheesman Park"/>
    <n v="80206"/>
    <s v="Cheesman Park"/>
    <x v="0"/>
    <n v="2"/>
  </r>
  <r>
    <n v="2023"/>
    <n v="80206"/>
    <s v="Disability"/>
    <x v="32"/>
    <s v="%"/>
    <s v="Crude prevalence"/>
    <n v="2.9"/>
    <n v="26108"/>
    <s v="Cherry Creek"/>
    <n v="80206"/>
    <s v="Cherry Creek"/>
    <x v="3"/>
    <n v="4"/>
  </r>
  <r>
    <n v="2023"/>
    <n v="80206"/>
    <s v="Disability"/>
    <x v="32"/>
    <s v="%"/>
    <s v="Crude prevalence"/>
    <n v="2.9"/>
    <n v="26108"/>
    <s v="Congress Park"/>
    <n v="80206"/>
    <s v="Congress Park"/>
    <x v="2"/>
    <n v="1"/>
  </r>
  <r>
    <n v="2023"/>
    <n v="80207"/>
    <s v="Prevention"/>
    <x v="0"/>
    <s v="%"/>
    <s v="Crude prevalence"/>
    <n v="10.5"/>
    <n v="21170"/>
    <s v="South Park Hill"/>
    <n v="80207"/>
    <s v="South Park Hill"/>
    <x v="1"/>
    <n v="2"/>
  </r>
  <r>
    <n v="2023"/>
    <n v="80207"/>
    <s v="Prevention"/>
    <x v="0"/>
    <s v="%"/>
    <s v="Crude prevalence"/>
    <n v="10.5"/>
    <n v="21170"/>
    <s v="North Park Hill"/>
    <n v="80207"/>
    <s v="North Park Hill"/>
    <x v="1"/>
    <n v="3"/>
  </r>
  <r>
    <n v="2023"/>
    <n v="80207"/>
    <s v="Health Outcomes"/>
    <x v="1"/>
    <s v="%"/>
    <s v="Crude prevalence"/>
    <n v="21.1"/>
    <n v="21170"/>
    <s v="South Park Hill"/>
    <n v="80207"/>
    <s v="South Park Hill"/>
    <x v="1"/>
    <n v="3"/>
  </r>
  <r>
    <n v="2023"/>
    <n v="80207"/>
    <s v="Health Outcomes"/>
    <x v="1"/>
    <s v="%"/>
    <s v="Crude prevalence"/>
    <n v="21.1"/>
    <n v="21170"/>
    <s v="North Park Hill"/>
    <n v="80207"/>
    <s v="North Park Hill"/>
    <x v="1"/>
    <n v="3"/>
  </r>
  <r>
    <n v="2023"/>
    <n v="80207"/>
    <s v="Health Risk Behaviors"/>
    <x v="2"/>
    <s v="%"/>
    <s v="Crude prevalence"/>
    <n v="23.4"/>
    <n v="21170"/>
    <s v="South Park Hill"/>
    <n v="80207"/>
    <s v="South Park Hill"/>
    <x v="1"/>
    <n v="3"/>
  </r>
  <r>
    <n v="2023"/>
    <n v="80207"/>
    <s v="Health Risk Behaviors"/>
    <x v="2"/>
    <s v="%"/>
    <s v="Crude prevalence"/>
    <n v="23.4"/>
    <n v="21170"/>
    <s v="North Park Hill"/>
    <n v="80207"/>
    <s v="North Park Hill"/>
    <x v="1"/>
    <n v="3"/>
  </r>
  <r>
    <n v="2023"/>
    <n v="80207"/>
    <s v="Health Outcomes"/>
    <x v="3"/>
    <s v="%"/>
    <s v="Crude prevalence"/>
    <n v="25.9"/>
    <n v="21170"/>
    <s v="South Park Hill"/>
    <n v="80207"/>
    <s v="South Park Hill"/>
    <x v="1"/>
    <n v="3"/>
  </r>
  <r>
    <n v="2023"/>
    <n v="80207"/>
    <s v="Health Outcomes"/>
    <x v="3"/>
    <s v="%"/>
    <s v="Crude prevalence"/>
    <n v="25.9"/>
    <n v="21170"/>
    <s v="North Park Hill"/>
    <n v="80207"/>
    <s v="North Park Hill"/>
    <x v="1"/>
    <n v="3"/>
  </r>
  <r>
    <n v="2023"/>
    <n v="80207"/>
    <s v="Prevention"/>
    <x v="4"/>
    <s v="%"/>
    <s v="Crude prevalence"/>
    <n v="70.599999999999994"/>
    <n v="21170"/>
    <s v="South Park Hill"/>
    <n v="80207"/>
    <s v="South Park Hill"/>
    <x v="1"/>
    <n v="3"/>
  </r>
  <r>
    <n v="2023"/>
    <n v="80207"/>
    <s v="Prevention"/>
    <x v="4"/>
    <s v="%"/>
    <s v="Crude prevalence"/>
    <n v="70.599999999999994"/>
    <n v="21170"/>
    <s v="North Park Hill"/>
    <n v="80207"/>
    <s v="North Park Hill"/>
    <x v="1"/>
    <n v="3"/>
  </r>
  <r>
    <n v="2023"/>
    <n v="80207"/>
    <s v="Health Outcomes"/>
    <x v="5"/>
    <s v="%"/>
    <s v="Crude prevalence"/>
    <n v="6.5"/>
    <n v="21170"/>
    <s v="South Park Hill"/>
    <n v="80207"/>
    <s v="South Park Hill"/>
    <x v="1"/>
    <n v="3"/>
  </r>
  <r>
    <n v="2023"/>
    <n v="80207"/>
    <s v="Health Outcomes"/>
    <x v="5"/>
    <s v="%"/>
    <s v="Crude prevalence"/>
    <n v="6.5"/>
    <n v="21170"/>
    <s v="North Park Hill"/>
    <n v="80207"/>
    <s v="North Park Hill"/>
    <x v="1"/>
    <n v="3"/>
  </r>
  <r>
    <n v="2023"/>
    <n v="80207"/>
    <s v="Health Outcomes"/>
    <x v="6"/>
    <s v="%"/>
    <s v="Crude prevalence"/>
    <n v="11"/>
    <n v="21170"/>
    <s v="South Park Hill"/>
    <n v="80207"/>
    <s v="South Park Hill"/>
    <x v="1"/>
    <n v="3"/>
  </r>
  <r>
    <n v="2023"/>
    <n v="80207"/>
    <s v="Health Outcomes"/>
    <x v="6"/>
    <s v="%"/>
    <s v="Crude prevalence"/>
    <n v="11"/>
    <n v="21170"/>
    <s v="North Park Hill"/>
    <n v="80207"/>
    <s v="North Park Hill"/>
    <x v="1"/>
    <n v="3"/>
  </r>
  <r>
    <n v="2023"/>
    <n v="80207"/>
    <s v="Health Outcomes"/>
    <x v="7"/>
    <s v="%"/>
    <s v="Crude prevalence"/>
    <n v="4.5"/>
    <n v="21170"/>
    <s v="South Park Hill"/>
    <n v="80207"/>
    <s v="South Park Hill"/>
    <x v="1"/>
    <n v="3"/>
  </r>
  <r>
    <n v="2023"/>
    <n v="80207"/>
    <s v="Health Outcomes"/>
    <x v="7"/>
    <s v="%"/>
    <s v="Crude prevalence"/>
    <n v="4.5"/>
    <n v="21170"/>
    <s v="North Park Hill"/>
    <n v="80207"/>
    <s v="North Park Hill"/>
    <x v="1"/>
    <n v="3"/>
  </r>
  <r>
    <n v="2023"/>
    <n v="80207"/>
    <s v="Prevention"/>
    <x v="8"/>
    <s v="%"/>
    <s v="Crude prevalence"/>
    <n v="73.099999999999994"/>
    <n v="21170"/>
    <s v="South Park Hill"/>
    <n v="80207"/>
    <s v="South Park Hill"/>
    <x v="1"/>
    <n v="3"/>
  </r>
  <r>
    <n v="2023"/>
    <n v="80207"/>
    <s v="Prevention"/>
    <x v="8"/>
    <s v="%"/>
    <s v="Crude prevalence"/>
    <n v="73.099999999999994"/>
    <n v="21170"/>
    <s v="North Park Hill"/>
    <n v="80207"/>
    <s v="North Park Hill"/>
    <x v="1"/>
    <n v="3"/>
  </r>
  <r>
    <n v="2023"/>
    <n v="80207"/>
    <s v="Prevention"/>
    <x v="9"/>
    <s v="%"/>
    <s v="Crude prevalence"/>
    <n v="86.7"/>
    <n v="21170"/>
    <s v="South Park Hill"/>
    <n v="80207"/>
    <s v="South Park Hill"/>
    <x v="1"/>
    <n v="3"/>
  </r>
  <r>
    <n v="2023"/>
    <n v="80207"/>
    <s v="Prevention"/>
    <x v="9"/>
    <s v="%"/>
    <s v="Crude prevalence"/>
    <n v="86.7"/>
    <n v="21170"/>
    <s v="North Park Hill"/>
    <n v="80207"/>
    <s v="North Park Hill"/>
    <x v="1"/>
    <n v="3"/>
  </r>
  <r>
    <n v="2023"/>
    <n v="80207"/>
    <s v="Disability"/>
    <x v="10"/>
    <s v="%"/>
    <s v="Crude prevalence"/>
    <n v="12.6"/>
    <n v="21170"/>
    <s v="South Park Hill"/>
    <n v="80207"/>
    <s v="South Park Hill"/>
    <x v="1"/>
    <n v="3"/>
  </r>
  <r>
    <n v="2023"/>
    <n v="80207"/>
    <s v="Disability"/>
    <x v="10"/>
    <s v="%"/>
    <s v="Crude prevalence"/>
    <n v="12.6"/>
    <n v="21170"/>
    <s v="North Park Hill"/>
    <n v="80207"/>
    <s v="North Park Hill"/>
    <x v="1"/>
    <n v="3"/>
  </r>
  <r>
    <n v="2022"/>
    <n v="80207"/>
    <s v="Prevention"/>
    <x v="11"/>
    <s v="%"/>
    <s v="Crude prevalence"/>
    <n v="65.400000000000006"/>
    <n v="21170"/>
    <s v="South Park Hill"/>
    <n v="80207"/>
    <s v="South Park Hill"/>
    <x v="1"/>
    <n v="3"/>
  </r>
  <r>
    <n v="2022"/>
    <n v="80207"/>
    <s v="Prevention"/>
    <x v="11"/>
    <s v="%"/>
    <s v="Crude prevalence"/>
    <n v="65.400000000000006"/>
    <n v="21170"/>
    <s v="North Park Hill"/>
    <n v="80207"/>
    <s v="North Park Hill"/>
    <x v="1"/>
    <n v="3"/>
  </r>
  <r>
    <n v="2023"/>
    <n v="80207"/>
    <s v="Health Outcomes"/>
    <x v="12"/>
    <s v="%"/>
    <s v="Crude prevalence"/>
    <n v="4.4000000000000004"/>
    <n v="21170"/>
    <s v="South Park Hill"/>
    <n v="80207"/>
    <s v="South Park Hill"/>
    <x v="1"/>
    <n v="3"/>
  </r>
  <r>
    <n v="2023"/>
    <n v="80207"/>
    <s v="Health Outcomes"/>
    <x v="12"/>
    <s v="%"/>
    <s v="Crude prevalence"/>
    <n v="4.4000000000000004"/>
    <n v="21170"/>
    <s v="North Park Hill"/>
    <n v="80207"/>
    <s v="North Park Hill"/>
    <x v="1"/>
    <n v="3"/>
  </r>
  <r>
    <n v="2023"/>
    <n v="80207"/>
    <s v="Health Risk Behaviors"/>
    <x v="13"/>
    <s v="%"/>
    <s v="Crude prevalence"/>
    <n v="10.1"/>
    <n v="21170"/>
    <s v="South Park Hill"/>
    <n v="80207"/>
    <s v="South Park Hill"/>
    <x v="1"/>
    <n v="3"/>
  </r>
  <r>
    <n v="2023"/>
    <n v="80207"/>
    <s v="Health Risk Behaviors"/>
    <x v="13"/>
    <s v="%"/>
    <s v="Crude prevalence"/>
    <n v="10.1"/>
    <n v="21170"/>
    <s v="North Park Hill"/>
    <n v="80207"/>
    <s v="North Park Hill"/>
    <x v="1"/>
    <n v="3"/>
  </r>
  <r>
    <n v="2022"/>
    <n v="80207"/>
    <s v="Prevention"/>
    <x v="14"/>
    <s v="%"/>
    <s v="Crude prevalence"/>
    <n v="65.400000000000006"/>
    <n v="21170"/>
    <s v="South Park Hill"/>
    <n v="80207"/>
    <s v="South Park Hill"/>
    <x v="1"/>
    <n v="3"/>
  </r>
  <r>
    <n v="2022"/>
    <n v="80207"/>
    <s v="Prevention"/>
    <x v="14"/>
    <s v="%"/>
    <s v="Crude prevalence"/>
    <n v="65.400000000000006"/>
    <n v="21170"/>
    <s v="North Park Hill"/>
    <n v="80207"/>
    <s v="North Park Hill"/>
    <x v="1"/>
    <n v="3"/>
  </r>
  <r>
    <n v="2023"/>
    <n v="80207"/>
    <s v="Health Outcomes"/>
    <x v="15"/>
    <s v="%"/>
    <s v="Crude prevalence"/>
    <n v="21.5"/>
    <n v="21170"/>
    <s v="South Park Hill"/>
    <n v="80207"/>
    <s v="South Park Hill"/>
    <x v="1"/>
    <n v="3"/>
  </r>
  <r>
    <n v="2023"/>
    <n v="80207"/>
    <s v="Health Outcomes"/>
    <x v="15"/>
    <s v="%"/>
    <s v="Crude prevalence"/>
    <n v="21.5"/>
    <n v="21170"/>
    <s v="North Park Hill"/>
    <n v="80207"/>
    <s v="North Park Hill"/>
    <x v="1"/>
    <n v="3"/>
  </r>
  <r>
    <n v="2023"/>
    <n v="80207"/>
    <s v="Health Outcomes"/>
    <x v="16"/>
    <s v="%"/>
    <s v="Crude prevalence"/>
    <n v="8.6"/>
    <n v="21170"/>
    <s v="South Park Hill"/>
    <n v="80207"/>
    <s v="South Park Hill"/>
    <x v="1"/>
    <n v="3"/>
  </r>
  <r>
    <n v="2023"/>
    <n v="80207"/>
    <s v="Health Outcomes"/>
    <x v="16"/>
    <s v="%"/>
    <s v="Crude prevalence"/>
    <n v="8.6"/>
    <n v="21170"/>
    <s v="North Park Hill"/>
    <n v="80207"/>
    <s v="North Park Hill"/>
    <x v="1"/>
    <n v="3"/>
  </r>
  <r>
    <n v="2023"/>
    <n v="80207"/>
    <s v="Disability"/>
    <x v="17"/>
    <s v="%"/>
    <s v="Crude prevalence"/>
    <n v="25.2"/>
    <n v="21170"/>
    <s v="South Park Hill"/>
    <n v="80207"/>
    <s v="South Park Hill"/>
    <x v="1"/>
    <n v="3"/>
  </r>
  <r>
    <n v="2023"/>
    <n v="80207"/>
    <s v="Disability"/>
    <x v="17"/>
    <s v="%"/>
    <s v="Crude prevalence"/>
    <n v="25.2"/>
    <n v="21170"/>
    <s v="North Park Hill"/>
    <n v="80207"/>
    <s v="North Park Hill"/>
    <x v="1"/>
    <n v="3"/>
  </r>
  <r>
    <n v="2023"/>
    <n v="80207"/>
    <s v="Health Status"/>
    <x v="18"/>
    <s v="%"/>
    <s v="Crude prevalence"/>
    <n v="14.6"/>
    <n v="21170"/>
    <s v="South Park Hill"/>
    <n v="80207"/>
    <s v="South Park Hill"/>
    <x v="1"/>
    <n v="3"/>
  </r>
  <r>
    <n v="2023"/>
    <n v="80207"/>
    <s v="Health Status"/>
    <x v="18"/>
    <s v="%"/>
    <s v="Crude prevalence"/>
    <n v="14.6"/>
    <n v="21170"/>
    <s v="North Park Hill"/>
    <n v="80207"/>
    <s v="North Park Hill"/>
    <x v="1"/>
    <n v="3"/>
  </r>
  <r>
    <n v="2023"/>
    <n v="80207"/>
    <s v="Disability"/>
    <x v="19"/>
    <s v="%"/>
    <s v="Crude prevalence"/>
    <n v="4.9000000000000004"/>
    <n v="21170"/>
    <s v="South Park Hill"/>
    <n v="80207"/>
    <s v="South Park Hill"/>
    <x v="1"/>
    <n v="3"/>
  </r>
  <r>
    <n v="2023"/>
    <n v="80207"/>
    <s v="Disability"/>
    <x v="19"/>
    <s v="%"/>
    <s v="Crude prevalence"/>
    <n v="4.9000000000000004"/>
    <n v="21170"/>
    <s v="North Park Hill"/>
    <n v="80207"/>
    <s v="North Park Hill"/>
    <x v="1"/>
    <n v="3"/>
  </r>
  <r>
    <n v="2023"/>
    <n v="80207"/>
    <s v="Health Outcomes"/>
    <x v="20"/>
    <s v="%"/>
    <s v="Crude prevalence"/>
    <n v="29.7"/>
    <n v="21170"/>
    <s v="South Park Hill"/>
    <n v="80207"/>
    <s v="South Park Hill"/>
    <x v="1"/>
    <n v="3"/>
  </r>
  <r>
    <n v="2023"/>
    <n v="80207"/>
    <s v="Health Outcomes"/>
    <x v="20"/>
    <s v="%"/>
    <s v="Crude prevalence"/>
    <n v="29.7"/>
    <n v="21170"/>
    <s v="North Park Hill"/>
    <n v="80207"/>
    <s v="North Park Hill"/>
    <x v="1"/>
    <n v="3"/>
  </r>
  <r>
    <n v="2023"/>
    <n v="80207"/>
    <s v="Disability"/>
    <x v="21"/>
    <s v="%"/>
    <s v="Crude prevalence"/>
    <n v="6.6"/>
    <n v="21170"/>
    <s v="South Park Hill"/>
    <n v="80207"/>
    <s v="South Park Hill"/>
    <x v="1"/>
    <n v="3"/>
  </r>
  <r>
    <n v="2023"/>
    <n v="80207"/>
    <s v="Disability"/>
    <x v="21"/>
    <s v="%"/>
    <s v="Crude prevalence"/>
    <n v="6.6"/>
    <n v="21170"/>
    <s v="North Park Hill"/>
    <n v="80207"/>
    <s v="North Park Hill"/>
    <x v="1"/>
    <n v="3"/>
  </r>
  <r>
    <n v="2023"/>
    <n v="80207"/>
    <s v="Health Risk Behaviors"/>
    <x v="22"/>
    <s v="%"/>
    <s v="Crude prevalence"/>
    <n v="17.100000000000001"/>
    <n v="21170"/>
    <s v="South Park Hill"/>
    <n v="80207"/>
    <s v="South Park Hill"/>
    <x v="1"/>
    <n v="3"/>
  </r>
  <r>
    <n v="2023"/>
    <n v="80207"/>
    <s v="Health Risk Behaviors"/>
    <x v="22"/>
    <s v="%"/>
    <s v="Crude prevalence"/>
    <n v="17.100000000000001"/>
    <n v="21170"/>
    <s v="North Park Hill"/>
    <n v="80207"/>
    <s v="North Park Hill"/>
    <x v="1"/>
    <n v="3"/>
  </r>
  <r>
    <n v="2022"/>
    <n v="80207"/>
    <s v="Prevention"/>
    <x v="23"/>
    <s v="%"/>
    <s v="Crude prevalence"/>
    <n v="75.599999999999994"/>
    <n v="21170"/>
    <s v="South Park Hill"/>
    <n v="80207"/>
    <s v="South Park Hill"/>
    <x v="1"/>
    <n v="3"/>
  </r>
  <r>
    <n v="2022"/>
    <n v="80207"/>
    <s v="Prevention"/>
    <x v="23"/>
    <s v="%"/>
    <s v="Crude prevalence"/>
    <n v="75.599999999999994"/>
    <n v="21170"/>
    <s v="North Park Hill"/>
    <n v="80207"/>
    <s v="North Park Hill"/>
    <x v="1"/>
    <n v="3"/>
  </r>
  <r>
    <n v="2023"/>
    <n v="80207"/>
    <s v="Health Status"/>
    <x v="24"/>
    <s v="%"/>
    <s v="Crude prevalence"/>
    <n v="14.5"/>
    <n v="21170"/>
    <s v="South Park Hill"/>
    <n v="80207"/>
    <s v="South Park Hill"/>
    <x v="1"/>
    <n v="3"/>
  </r>
  <r>
    <n v="2023"/>
    <n v="80207"/>
    <s v="Health Status"/>
    <x v="24"/>
    <s v="%"/>
    <s v="Crude prevalence"/>
    <n v="14.5"/>
    <n v="21170"/>
    <s v="North Park Hill"/>
    <n v="80207"/>
    <s v="North Park Hill"/>
    <x v="1"/>
    <n v="3"/>
  </r>
  <r>
    <n v="2023"/>
    <n v="80207"/>
    <s v="Disability"/>
    <x v="25"/>
    <s v="%"/>
    <s v="Crude prevalence"/>
    <n v="10.4"/>
    <n v="21170"/>
    <s v="South Park Hill"/>
    <n v="80207"/>
    <s v="South Park Hill"/>
    <x v="1"/>
    <n v="3"/>
  </r>
  <r>
    <n v="2023"/>
    <n v="80207"/>
    <s v="Disability"/>
    <x v="25"/>
    <s v="%"/>
    <s v="Crude prevalence"/>
    <n v="10.4"/>
    <n v="21170"/>
    <s v="North Park Hill"/>
    <n v="80207"/>
    <s v="North Park Hill"/>
    <x v="1"/>
    <n v="3"/>
  </r>
  <r>
    <n v="2023"/>
    <n v="80207"/>
    <s v="Health Outcomes"/>
    <x v="26"/>
    <s v="%"/>
    <s v="Crude prevalence"/>
    <n v="22.9"/>
    <n v="21170"/>
    <s v="South Park Hill"/>
    <n v="80207"/>
    <s v="South Park Hill"/>
    <x v="1"/>
    <n v="3"/>
  </r>
  <r>
    <n v="2023"/>
    <n v="80207"/>
    <s v="Health Outcomes"/>
    <x v="26"/>
    <s v="%"/>
    <s v="Crude prevalence"/>
    <n v="22.9"/>
    <n v="21170"/>
    <s v="North Park Hill"/>
    <n v="80207"/>
    <s v="North Park Hill"/>
    <x v="1"/>
    <n v="3"/>
  </r>
  <r>
    <n v="2023"/>
    <n v="80207"/>
    <s v="Health Status"/>
    <x v="27"/>
    <s v="%"/>
    <s v="Crude prevalence"/>
    <n v="11"/>
    <n v="21170"/>
    <s v="South Park Hill"/>
    <n v="80207"/>
    <s v="South Park Hill"/>
    <x v="1"/>
    <n v="3"/>
  </r>
  <r>
    <n v="2023"/>
    <n v="80207"/>
    <s v="Health Status"/>
    <x v="27"/>
    <s v="%"/>
    <s v="Crude prevalence"/>
    <n v="11"/>
    <n v="21170"/>
    <s v="North Park Hill"/>
    <n v="80207"/>
    <s v="North Park Hill"/>
    <x v="1"/>
    <n v="3"/>
  </r>
  <r>
    <n v="2023"/>
    <n v="80207"/>
    <s v="Disability"/>
    <x v="28"/>
    <s v="%"/>
    <s v="Crude prevalence"/>
    <n v="3.1"/>
    <n v="21170"/>
    <s v="South Park Hill"/>
    <n v="80207"/>
    <s v="South Park Hill"/>
    <x v="1"/>
    <n v="3"/>
  </r>
  <r>
    <n v="2023"/>
    <n v="80207"/>
    <s v="Disability"/>
    <x v="28"/>
    <s v="%"/>
    <s v="Crude prevalence"/>
    <n v="3.1"/>
    <n v="21170"/>
    <s v="North Park Hill"/>
    <n v="80207"/>
    <s v="North Park Hill"/>
    <x v="1"/>
    <n v="3"/>
  </r>
  <r>
    <n v="2022"/>
    <n v="80207"/>
    <s v="Health Risk Behaviors"/>
    <x v="29"/>
    <s v="%"/>
    <s v="Crude prevalence"/>
    <n v="30.1"/>
    <n v="21170"/>
    <s v="South Park Hill"/>
    <n v="80207"/>
    <s v="South Park Hill"/>
    <x v="1"/>
    <n v="3"/>
  </r>
  <r>
    <n v="2022"/>
    <n v="80207"/>
    <s v="Health Risk Behaviors"/>
    <x v="29"/>
    <s v="%"/>
    <s v="Crude prevalence"/>
    <n v="30.1"/>
    <n v="21170"/>
    <s v="North Park Hill"/>
    <n v="80207"/>
    <s v="North Park Hill"/>
    <x v="1"/>
    <n v="3"/>
  </r>
  <r>
    <n v="2023"/>
    <n v="80207"/>
    <s v="Health Outcomes"/>
    <x v="30"/>
    <s v="%"/>
    <s v="Crude prevalence"/>
    <n v="2.9"/>
    <n v="21170"/>
    <s v="South Park Hill"/>
    <n v="80207"/>
    <s v="South Park Hill"/>
    <x v="1"/>
    <n v="3"/>
  </r>
  <r>
    <n v="2023"/>
    <n v="80207"/>
    <s v="Health Outcomes"/>
    <x v="30"/>
    <s v="%"/>
    <s v="Crude prevalence"/>
    <n v="2.9"/>
    <n v="21170"/>
    <s v="North Park Hill"/>
    <n v="80207"/>
    <s v="North Park Hill"/>
    <x v="1"/>
    <n v="3"/>
  </r>
  <r>
    <n v="2022"/>
    <n v="80207"/>
    <s v="Health Outcomes"/>
    <x v="31"/>
    <s v="%"/>
    <s v="Crude prevalence"/>
    <n v="10.8"/>
    <n v="21170"/>
    <s v="South Park Hill"/>
    <n v="80207"/>
    <s v="South Park Hill"/>
    <x v="1"/>
    <n v="3"/>
  </r>
  <r>
    <n v="2022"/>
    <n v="80207"/>
    <s v="Health Outcomes"/>
    <x v="31"/>
    <s v="%"/>
    <s v="Crude prevalence"/>
    <n v="10.8"/>
    <n v="21170"/>
    <s v="North Park Hill"/>
    <n v="80207"/>
    <s v="North Park Hill"/>
    <x v="1"/>
    <n v="3"/>
  </r>
  <r>
    <n v="2023"/>
    <n v="80207"/>
    <s v="Disability"/>
    <x v="32"/>
    <s v="%"/>
    <s v="Crude prevalence"/>
    <n v="4.4000000000000004"/>
    <n v="21170"/>
    <s v="South Park Hill"/>
    <n v="80207"/>
    <s v="South Park Hill"/>
    <x v="1"/>
    <n v="3"/>
  </r>
  <r>
    <n v="2023"/>
    <n v="80207"/>
    <s v="Disability"/>
    <x v="32"/>
    <s v="%"/>
    <s v="Crude prevalence"/>
    <n v="4.4000000000000004"/>
    <n v="21170"/>
    <s v="North Park Hill"/>
    <n v="80207"/>
    <s v="North Park Hill"/>
    <x v="1"/>
    <n v="3"/>
  </r>
  <r>
    <n v="2023"/>
    <n v="80209"/>
    <s v="Prevention"/>
    <x v="0"/>
    <s v="%"/>
    <s v="Crude prevalence"/>
    <n v="6.1"/>
    <n v="27061"/>
    <s v="Cherry Creek"/>
    <n v="80209"/>
    <s v="Cherry Creek"/>
    <x v="3"/>
    <n v="3"/>
  </r>
  <r>
    <n v="2023"/>
    <n v="80209"/>
    <s v="Prevention"/>
    <x v="0"/>
    <s v="%"/>
    <s v="Crude prevalence"/>
    <n v="6.1"/>
    <n v="27061"/>
    <s v="Belcaro"/>
    <n v="80209"/>
    <s v="Belcaro"/>
    <x v="0"/>
    <n v="1"/>
  </r>
  <r>
    <n v="2023"/>
    <n v="80209"/>
    <s v="Prevention"/>
    <x v="0"/>
    <s v="%"/>
    <s v="Crude prevalence"/>
    <n v="6.1"/>
    <n v="27061"/>
    <s v="Washington Park"/>
    <n v="80209"/>
    <s v="Washington Park"/>
    <x v="0"/>
    <n v="4"/>
  </r>
  <r>
    <n v="2023"/>
    <n v="80209"/>
    <s v="Prevention"/>
    <x v="0"/>
    <s v="%"/>
    <s v="Crude prevalence"/>
    <n v="6.1"/>
    <n v="27061"/>
    <s v="Country Club"/>
    <n v="80209"/>
    <s v="Country Club"/>
    <x v="0"/>
    <n v="4"/>
  </r>
  <r>
    <n v="2023"/>
    <n v="80209"/>
    <s v="Health Outcomes"/>
    <x v="1"/>
    <s v="%"/>
    <s v="Crude prevalence"/>
    <n v="18.899999999999999"/>
    <n v="27061"/>
    <s v="Cherry Creek"/>
    <n v="80209"/>
    <s v="Cherry Creek"/>
    <x v="3"/>
    <n v="4"/>
  </r>
  <r>
    <n v="2023"/>
    <n v="80209"/>
    <s v="Health Outcomes"/>
    <x v="1"/>
    <s v="%"/>
    <s v="Crude prevalence"/>
    <n v="18.899999999999999"/>
    <n v="27061"/>
    <s v="Belcaro"/>
    <n v="80209"/>
    <s v="Belcaro"/>
    <x v="0"/>
    <n v="1"/>
  </r>
  <r>
    <n v="2023"/>
    <n v="80209"/>
    <s v="Health Outcomes"/>
    <x v="1"/>
    <s v="%"/>
    <s v="Crude prevalence"/>
    <n v="18.899999999999999"/>
    <n v="27061"/>
    <s v="Washington Park"/>
    <n v="80209"/>
    <s v="Washington Park"/>
    <x v="0"/>
    <n v="4"/>
  </r>
  <r>
    <n v="2023"/>
    <n v="80209"/>
    <s v="Health Outcomes"/>
    <x v="1"/>
    <s v="%"/>
    <s v="Crude prevalence"/>
    <n v="18.899999999999999"/>
    <n v="27061"/>
    <s v="Country Club"/>
    <n v="80209"/>
    <s v="Country Club"/>
    <x v="0"/>
    <n v="4"/>
  </r>
  <r>
    <n v="2023"/>
    <n v="80209"/>
    <s v="Health Risk Behaviors"/>
    <x v="2"/>
    <s v="%"/>
    <s v="Crude prevalence"/>
    <n v="27.1"/>
    <n v="27061"/>
    <s v="Cherry Creek"/>
    <n v="80209"/>
    <s v="Cherry Creek"/>
    <x v="3"/>
    <n v="4"/>
  </r>
  <r>
    <n v="2023"/>
    <n v="80209"/>
    <s v="Health Risk Behaviors"/>
    <x v="2"/>
    <s v="%"/>
    <s v="Crude prevalence"/>
    <n v="27.1"/>
    <n v="27061"/>
    <s v="Belcaro"/>
    <n v="80209"/>
    <s v="Belcaro"/>
    <x v="0"/>
    <n v="1"/>
  </r>
  <r>
    <n v="2023"/>
    <n v="80209"/>
    <s v="Health Risk Behaviors"/>
    <x v="2"/>
    <s v="%"/>
    <s v="Crude prevalence"/>
    <n v="27.1"/>
    <n v="27061"/>
    <s v="Washington Park"/>
    <n v="80209"/>
    <s v="Washington Park"/>
    <x v="0"/>
    <n v="4"/>
  </r>
  <r>
    <n v="2023"/>
    <n v="80209"/>
    <s v="Health Risk Behaviors"/>
    <x v="2"/>
    <s v="%"/>
    <s v="Crude prevalence"/>
    <n v="27.1"/>
    <n v="27061"/>
    <s v="Country Club"/>
    <n v="80209"/>
    <s v="Country Club"/>
    <x v="0"/>
    <n v="4"/>
  </r>
  <r>
    <n v="2023"/>
    <n v="80209"/>
    <s v="Health Outcomes"/>
    <x v="3"/>
    <s v="%"/>
    <s v="Crude prevalence"/>
    <n v="20.100000000000001"/>
    <n v="27061"/>
    <s v="Cherry Creek"/>
    <n v="80209"/>
    <s v="Cherry Creek"/>
    <x v="3"/>
    <n v="4"/>
  </r>
  <r>
    <n v="2023"/>
    <n v="80209"/>
    <s v="Health Outcomes"/>
    <x v="3"/>
    <s v="%"/>
    <s v="Crude prevalence"/>
    <n v="20.100000000000001"/>
    <n v="27061"/>
    <s v="Belcaro"/>
    <n v="80209"/>
    <s v="Belcaro"/>
    <x v="0"/>
    <n v="1"/>
  </r>
  <r>
    <n v="2023"/>
    <n v="80209"/>
    <s v="Health Outcomes"/>
    <x v="3"/>
    <s v="%"/>
    <s v="Crude prevalence"/>
    <n v="20.100000000000001"/>
    <n v="27061"/>
    <s v="Washington Park"/>
    <n v="80209"/>
    <s v="Washington Park"/>
    <x v="0"/>
    <n v="4"/>
  </r>
  <r>
    <n v="2023"/>
    <n v="80209"/>
    <s v="Health Outcomes"/>
    <x v="3"/>
    <s v="%"/>
    <s v="Crude prevalence"/>
    <n v="20.100000000000001"/>
    <n v="27061"/>
    <s v="Country Club"/>
    <n v="80209"/>
    <s v="Country Club"/>
    <x v="0"/>
    <n v="4"/>
  </r>
  <r>
    <n v="2023"/>
    <n v="80209"/>
    <s v="Prevention"/>
    <x v="4"/>
    <s v="%"/>
    <s v="Crude prevalence"/>
    <n v="67.400000000000006"/>
    <n v="27061"/>
    <s v="Cherry Creek"/>
    <n v="80209"/>
    <s v="Cherry Creek"/>
    <x v="3"/>
    <n v="4"/>
  </r>
  <r>
    <n v="2023"/>
    <n v="80209"/>
    <s v="Prevention"/>
    <x v="4"/>
    <s v="%"/>
    <s v="Crude prevalence"/>
    <n v="67.400000000000006"/>
    <n v="27061"/>
    <s v="Belcaro"/>
    <n v="80209"/>
    <s v="Belcaro"/>
    <x v="0"/>
    <n v="1"/>
  </r>
  <r>
    <n v="2023"/>
    <n v="80209"/>
    <s v="Prevention"/>
    <x v="4"/>
    <s v="%"/>
    <s v="Crude prevalence"/>
    <n v="67.400000000000006"/>
    <n v="27061"/>
    <s v="Washington Park"/>
    <n v="80209"/>
    <s v="Washington Park"/>
    <x v="0"/>
    <n v="4"/>
  </r>
  <r>
    <n v="2023"/>
    <n v="80209"/>
    <s v="Prevention"/>
    <x v="4"/>
    <s v="%"/>
    <s v="Crude prevalence"/>
    <n v="67.400000000000006"/>
    <n v="27061"/>
    <s v="Country Club"/>
    <n v="80209"/>
    <s v="Country Club"/>
    <x v="0"/>
    <n v="4"/>
  </r>
  <r>
    <n v="2023"/>
    <n v="80209"/>
    <s v="Health Outcomes"/>
    <x v="5"/>
    <s v="%"/>
    <s v="Crude prevalence"/>
    <n v="8"/>
    <n v="27061"/>
    <s v="Cherry Creek"/>
    <n v="80209"/>
    <s v="Cherry Creek"/>
    <x v="3"/>
    <n v="4"/>
  </r>
  <r>
    <n v="2023"/>
    <n v="80209"/>
    <s v="Health Outcomes"/>
    <x v="5"/>
    <s v="%"/>
    <s v="Crude prevalence"/>
    <n v="8"/>
    <n v="27061"/>
    <s v="Belcaro"/>
    <n v="80209"/>
    <s v="Belcaro"/>
    <x v="0"/>
    <n v="1"/>
  </r>
  <r>
    <n v="2023"/>
    <n v="80209"/>
    <s v="Health Outcomes"/>
    <x v="5"/>
    <s v="%"/>
    <s v="Crude prevalence"/>
    <n v="8"/>
    <n v="27061"/>
    <s v="Washington Park"/>
    <n v="80209"/>
    <s v="Washington Park"/>
    <x v="0"/>
    <n v="4"/>
  </r>
  <r>
    <n v="2023"/>
    <n v="80209"/>
    <s v="Health Outcomes"/>
    <x v="5"/>
    <s v="%"/>
    <s v="Crude prevalence"/>
    <n v="8"/>
    <n v="27061"/>
    <s v="Country Club"/>
    <n v="80209"/>
    <s v="Country Club"/>
    <x v="0"/>
    <n v="4"/>
  </r>
  <r>
    <n v="2023"/>
    <n v="80209"/>
    <s v="Health Outcomes"/>
    <x v="6"/>
    <s v="%"/>
    <s v="Crude prevalence"/>
    <n v="10"/>
    <n v="27061"/>
    <s v="Cherry Creek"/>
    <n v="80209"/>
    <s v="Cherry Creek"/>
    <x v="3"/>
    <n v="4"/>
  </r>
  <r>
    <n v="2023"/>
    <n v="80209"/>
    <s v="Health Outcomes"/>
    <x v="6"/>
    <s v="%"/>
    <s v="Crude prevalence"/>
    <n v="10"/>
    <n v="27061"/>
    <s v="Belcaro"/>
    <n v="80209"/>
    <s v="Belcaro"/>
    <x v="0"/>
    <n v="1"/>
  </r>
  <r>
    <n v="2023"/>
    <n v="80209"/>
    <s v="Health Outcomes"/>
    <x v="6"/>
    <s v="%"/>
    <s v="Crude prevalence"/>
    <n v="10"/>
    <n v="27061"/>
    <s v="Washington Park"/>
    <n v="80209"/>
    <s v="Washington Park"/>
    <x v="0"/>
    <n v="4"/>
  </r>
  <r>
    <n v="2023"/>
    <n v="80209"/>
    <s v="Health Outcomes"/>
    <x v="6"/>
    <s v="%"/>
    <s v="Crude prevalence"/>
    <n v="10"/>
    <n v="27061"/>
    <s v="Country Club"/>
    <n v="80209"/>
    <s v="Country Club"/>
    <x v="0"/>
    <n v="4"/>
  </r>
  <r>
    <n v="2023"/>
    <n v="80209"/>
    <s v="Health Outcomes"/>
    <x v="7"/>
    <s v="%"/>
    <s v="Crude prevalence"/>
    <n v="3.8"/>
    <n v="27061"/>
    <s v="Cherry Creek"/>
    <n v="80209"/>
    <s v="Cherry Creek"/>
    <x v="3"/>
    <n v="4"/>
  </r>
  <r>
    <n v="2023"/>
    <n v="80209"/>
    <s v="Health Outcomes"/>
    <x v="7"/>
    <s v="%"/>
    <s v="Crude prevalence"/>
    <n v="3.8"/>
    <n v="27061"/>
    <s v="Belcaro"/>
    <n v="80209"/>
    <s v="Belcaro"/>
    <x v="0"/>
    <n v="1"/>
  </r>
  <r>
    <n v="2023"/>
    <n v="80209"/>
    <s v="Health Outcomes"/>
    <x v="7"/>
    <s v="%"/>
    <s v="Crude prevalence"/>
    <n v="3.8"/>
    <n v="27061"/>
    <s v="Washington Park"/>
    <n v="80209"/>
    <s v="Washington Park"/>
    <x v="0"/>
    <n v="4"/>
  </r>
  <r>
    <n v="2023"/>
    <n v="80209"/>
    <s v="Health Outcomes"/>
    <x v="7"/>
    <s v="%"/>
    <s v="Crude prevalence"/>
    <n v="3.8"/>
    <n v="27061"/>
    <s v="Country Club"/>
    <n v="80209"/>
    <s v="Country Club"/>
    <x v="0"/>
    <n v="4"/>
  </r>
  <r>
    <n v="2023"/>
    <n v="80209"/>
    <s v="Prevention"/>
    <x v="8"/>
    <s v="%"/>
    <s v="Crude prevalence"/>
    <n v="71.5"/>
    <n v="27061"/>
    <s v="Cherry Creek"/>
    <n v="80209"/>
    <s v="Cherry Creek"/>
    <x v="3"/>
    <n v="4"/>
  </r>
  <r>
    <n v="2023"/>
    <n v="80209"/>
    <s v="Prevention"/>
    <x v="8"/>
    <s v="%"/>
    <s v="Crude prevalence"/>
    <n v="71.5"/>
    <n v="27061"/>
    <s v="Belcaro"/>
    <n v="80209"/>
    <s v="Belcaro"/>
    <x v="0"/>
    <n v="1"/>
  </r>
  <r>
    <n v="2023"/>
    <n v="80209"/>
    <s v="Prevention"/>
    <x v="8"/>
    <s v="%"/>
    <s v="Crude prevalence"/>
    <n v="71.5"/>
    <n v="27061"/>
    <s v="Washington Park"/>
    <n v="80209"/>
    <s v="Washington Park"/>
    <x v="0"/>
    <n v="4"/>
  </r>
  <r>
    <n v="2023"/>
    <n v="80209"/>
    <s v="Prevention"/>
    <x v="8"/>
    <s v="%"/>
    <s v="Crude prevalence"/>
    <n v="71.5"/>
    <n v="27061"/>
    <s v="Country Club"/>
    <n v="80209"/>
    <s v="Country Club"/>
    <x v="0"/>
    <n v="4"/>
  </r>
  <r>
    <n v="2023"/>
    <n v="80209"/>
    <s v="Prevention"/>
    <x v="9"/>
    <s v="%"/>
    <s v="Crude prevalence"/>
    <n v="87.5"/>
    <n v="27061"/>
    <s v="Cherry Creek"/>
    <n v="80209"/>
    <s v="Cherry Creek"/>
    <x v="3"/>
    <n v="4"/>
  </r>
  <r>
    <n v="2023"/>
    <n v="80209"/>
    <s v="Prevention"/>
    <x v="9"/>
    <s v="%"/>
    <s v="Crude prevalence"/>
    <n v="87.5"/>
    <n v="27061"/>
    <s v="Belcaro"/>
    <n v="80209"/>
    <s v="Belcaro"/>
    <x v="0"/>
    <n v="1"/>
  </r>
  <r>
    <n v="2023"/>
    <n v="80209"/>
    <s v="Prevention"/>
    <x v="9"/>
    <s v="%"/>
    <s v="Crude prevalence"/>
    <n v="87.5"/>
    <n v="27061"/>
    <s v="Washington Park"/>
    <n v="80209"/>
    <s v="Washington Park"/>
    <x v="0"/>
    <n v="4"/>
  </r>
  <r>
    <n v="2023"/>
    <n v="80209"/>
    <s v="Prevention"/>
    <x v="9"/>
    <s v="%"/>
    <s v="Crude prevalence"/>
    <n v="87.5"/>
    <n v="27061"/>
    <s v="Country Club"/>
    <n v="80209"/>
    <s v="Country Club"/>
    <x v="0"/>
    <n v="4"/>
  </r>
  <r>
    <n v="2023"/>
    <n v="80209"/>
    <s v="Disability"/>
    <x v="10"/>
    <s v="%"/>
    <s v="Crude prevalence"/>
    <n v="9.8000000000000007"/>
    <n v="27061"/>
    <s v="Cherry Creek"/>
    <n v="80209"/>
    <s v="Cherry Creek"/>
    <x v="3"/>
    <n v="4"/>
  </r>
  <r>
    <n v="2023"/>
    <n v="80209"/>
    <s v="Disability"/>
    <x v="10"/>
    <s v="%"/>
    <s v="Crude prevalence"/>
    <n v="9.8000000000000007"/>
    <n v="27061"/>
    <s v="Belcaro"/>
    <n v="80209"/>
    <s v="Belcaro"/>
    <x v="0"/>
    <n v="1"/>
  </r>
  <r>
    <n v="2023"/>
    <n v="80209"/>
    <s v="Disability"/>
    <x v="10"/>
    <s v="%"/>
    <s v="Crude prevalence"/>
    <n v="9.8000000000000007"/>
    <n v="27061"/>
    <s v="Washington Park"/>
    <n v="80209"/>
    <s v="Washington Park"/>
    <x v="0"/>
    <n v="4"/>
  </r>
  <r>
    <n v="2023"/>
    <n v="80209"/>
    <s v="Disability"/>
    <x v="10"/>
    <s v="%"/>
    <s v="Crude prevalence"/>
    <n v="9.8000000000000007"/>
    <n v="27061"/>
    <s v="Country Club"/>
    <n v="80209"/>
    <s v="Country Club"/>
    <x v="0"/>
    <n v="4"/>
  </r>
  <r>
    <n v="2022"/>
    <n v="80209"/>
    <s v="Prevention"/>
    <x v="11"/>
    <s v="%"/>
    <s v="Crude prevalence"/>
    <n v="70.400000000000006"/>
    <n v="27061"/>
    <s v="Cherry Creek"/>
    <n v="80209"/>
    <s v="Cherry Creek"/>
    <x v="3"/>
    <n v="4"/>
  </r>
  <r>
    <n v="2022"/>
    <n v="80209"/>
    <s v="Prevention"/>
    <x v="11"/>
    <s v="%"/>
    <s v="Crude prevalence"/>
    <n v="70.400000000000006"/>
    <n v="27061"/>
    <s v="Belcaro"/>
    <n v="80209"/>
    <s v="Belcaro"/>
    <x v="0"/>
    <n v="1"/>
  </r>
  <r>
    <n v="2022"/>
    <n v="80209"/>
    <s v="Prevention"/>
    <x v="11"/>
    <s v="%"/>
    <s v="Crude prevalence"/>
    <n v="70.400000000000006"/>
    <n v="27061"/>
    <s v="Washington Park"/>
    <n v="80209"/>
    <s v="Washington Park"/>
    <x v="0"/>
    <n v="4"/>
  </r>
  <r>
    <n v="2022"/>
    <n v="80209"/>
    <s v="Prevention"/>
    <x v="11"/>
    <s v="%"/>
    <s v="Crude prevalence"/>
    <n v="70.400000000000006"/>
    <n v="27061"/>
    <s v="Country Club"/>
    <n v="80209"/>
    <s v="Country Club"/>
    <x v="0"/>
    <n v="4"/>
  </r>
  <r>
    <n v="2023"/>
    <n v="80209"/>
    <s v="Health Outcomes"/>
    <x v="12"/>
    <s v="%"/>
    <s v="Crude prevalence"/>
    <n v="3.3"/>
    <n v="27061"/>
    <s v="Cherry Creek"/>
    <n v="80209"/>
    <s v="Cherry Creek"/>
    <x v="3"/>
    <n v="4"/>
  </r>
  <r>
    <n v="2023"/>
    <n v="80209"/>
    <s v="Health Outcomes"/>
    <x v="12"/>
    <s v="%"/>
    <s v="Crude prevalence"/>
    <n v="3.3"/>
    <n v="27061"/>
    <s v="Belcaro"/>
    <n v="80209"/>
    <s v="Belcaro"/>
    <x v="0"/>
    <n v="1"/>
  </r>
  <r>
    <n v="2023"/>
    <n v="80209"/>
    <s v="Health Outcomes"/>
    <x v="12"/>
    <s v="%"/>
    <s v="Crude prevalence"/>
    <n v="3.3"/>
    <n v="27061"/>
    <s v="Washington Park"/>
    <n v="80209"/>
    <s v="Washington Park"/>
    <x v="0"/>
    <n v="4"/>
  </r>
  <r>
    <n v="2023"/>
    <n v="80209"/>
    <s v="Health Outcomes"/>
    <x v="12"/>
    <s v="%"/>
    <s v="Crude prevalence"/>
    <n v="3.3"/>
    <n v="27061"/>
    <s v="Country Club"/>
    <n v="80209"/>
    <s v="Country Club"/>
    <x v="0"/>
    <n v="4"/>
  </r>
  <r>
    <n v="2023"/>
    <n v="80209"/>
    <s v="Health Risk Behaviors"/>
    <x v="13"/>
    <s v="%"/>
    <s v="Crude prevalence"/>
    <n v="6.6"/>
    <n v="27061"/>
    <s v="Cherry Creek"/>
    <n v="80209"/>
    <s v="Cherry Creek"/>
    <x v="3"/>
    <n v="4"/>
  </r>
  <r>
    <n v="2023"/>
    <n v="80209"/>
    <s v="Health Risk Behaviors"/>
    <x v="13"/>
    <s v="%"/>
    <s v="Crude prevalence"/>
    <n v="6.6"/>
    <n v="27061"/>
    <s v="Belcaro"/>
    <n v="80209"/>
    <s v="Belcaro"/>
    <x v="0"/>
    <n v="1"/>
  </r>
  <r>
    <n v="2023"/>
    <n v="80209"/>
    <s v="Health Risk Behaviors"/>
    <x v="13"/>
    <s v="%"/>
    <s v="Crude prevalence"/>
    <n v="6.6"/>
    <n v="27061"/>
    <s v="Washington Park"/>
    <n v="80209"/>
    <s v="Washington Park"/>
    <x v="0"/>
    <n v="4"/>
  </r>
  <r>
    <n v="2023"/>
    <n v="80209"/>
    <s v="Health Risk Behaviors"/>
    <x v="13"/>
    <s v="%"/>
    <s v="Crude prevalence"/>
    <n v="6.6"/>
    <n v="27061"/>
    <s v="Country Club"/>
    <n v="80209"/>
    <s v="Country Club"/>
    <x v="0"/>
    <n v="4"/>
  </r>
  <r>
    <n v="2022"/>
    <n v="80209"/>
    <s v="Prevention"/>
    <x v="14"/>
    <s v="%"/>
    <s v="Crude prevalence"/>
    <n v="75.400000000000006"/>
    <n v="27061"/>
    <s v="Cherry Creek"/>
    <n v="80209"/>
    <s v="Cherry Creek"/>
    <x v="3"/>
    <n v="4"/>
  </r>
  <r>
    <n v="2022"/>
    <n v="80209"/>
    <s v="Prevention"/>
    <x v="14"/>
    <s v="%"/>
    <s v="Crude prevalence"/>
    <n v="75.400000000000006"/>
    <n v="27061"/>
    <s v="Belcaro"/>
    <n v="80209"/>
    <s v="Belcaro"/>
    <x v="0"/>
    <n v="1"/>
  </r>
  <r>
    <n v="2022"/>
    <n v="80209"/>
    <s v="Prevention"/>
    <x v="14"/>
    <s v="%"/>
    <s v="Crude prevalence"/>
    <n v="75.400000000000006"/>
    <n v="27061"/>
    <s v="Washington Park"/>
    <n v="80209"/>
    <s v="Washington Park"/>
    <x v="0"/>
    <n v="4"/>
  </r>
  <r>
    <n v="2022"/>
    <n v="80209"/>
    <s v="Prevention"/>
    <x v="14"/>
    <s v="%"/>
    <s v="Crude prevalence"/>
    <n v="75.400000000000006"/>
    <n v="27061"/>
    <s v="Country Club"/>
    <n v="80209"/>
    <s v="Country Club"/>
    <x v="0"/>
    <n v="4"/>
  </r>
  <r>
    <n v="2023"/>
    <n v="80209"/>
    <s v="Health Outcomes"/>
    <x v="15"/>
    <s v="%"/>
    <s v="Crude prevalence"/>
    <n v="23.1"/>
    <n v="27061"/>
    <s v="Cherry Creek"/>
    <n v="80209"/>
    <s v="Cherry Creek"/>
    <x v="3"/>
    <n v="4"/>
  </r>
  <r>
    <n v="2023"/>
    <n v="80209"/>
    <s v="Health Outcomes"/>
    <x v="15"/>
    <s v="%"/>
    <s v="Crude prevalence"/>
    <n v="23.1"/>
    <n v="27061"/>
    <s v="Belcaro"/>
    <n v="80209"/>
    <s v="Belcaro"/>
    <x v="0"/>
    <n v="1"/>
  </r>
  <r>
    <n v="2023"/>
    <n v="80209"/>
    <s v="Health Outcomes"/>
    <x v="15"/>
    <s v="%"/>
    <s v="Crude prevalence"/>
    <n v="23.1"/>
    <n v="27061"/>
    <s v="Washington Park"/>
    <n v="80209"/>
    <s v="Washington Park"/>
    <x v="0"/>
    <n v="4"/>
  </r>
  <r>
    <n v="2023"/>
    <n v="80209"/>
    <s v="Health Outcomes"/>
    <x v="15"/>
    <s v="%"/>
    <s v="Crude prevalence"/>
    <n v="23.1"/>
    <n v="27061"/>
    <s v="Country Club"/>
    <n v="80209"/>
    <s v="Country Club"/>
    <x v="0"/>
    <n v="4"/>
  </r>
  <r>
    <n v="2023"/>
    <n v="80209"/>
    <s v="Health Outcomes"/>
    <x v="16"/>
    <s v="%"/>
    <s v="Crude prevalence"/>
    <n v="5.4"/>
    <n v="27061"/>
    <s v="Cherry Creek"/>
    <n v="80209"/>
    <s v="Cherry Creek"/>
    <x v="3"/>
    <n v="4"/>
  </r>
  <r>
    <n v="2023"/>
    <n v="80209"/>
    <s v="Health Outcomes"/>
    <x v="16"/>
    <s v="%"/>
    <s v="Crude prevalence"/>
    <n v="5.4"/>
    <n v="27061"/>
    <s v="Belcaro"/>
    <n v="80209"/>
    <s v="Belcaro"/>
    <x v="0"/>
    <n v="1"/>
  </r>
  <r>
    <n v="2023"/>
    <n v="80209"/>
    <s v="Health Outcomes"/>
    <x v="16"/>
    <s v="%"/>
    <s v="Crude prevalence"/>
    <n v="5.4"/>
    <n v="27061"/>
    <s v="Washington Park"/>
    <n v="80209"/>
    <s v="Washington Park"/>
    <x v="0"/>
    <n v="4"/>
  </r>
  <r>
    <n v="2023"/>
    <n v="80209"/>
    <s v="Health Outcomes"/>
    <x v="16"/>
    <s v="%"/>
    <s v="Crude prevalence"/>
    <n v="5.4"/>
    <n v="27061"/>
    <s v="Country Club"/>
    <n v="80209"/>
    <s v="Country Club"/>
    <x v="0"/>
    <n v="4"/>
  </r>
  <r>
    <n v="2023"/>
    <n v="80209"/>
    <s v="Disability"/>
    <x v="17"/>
    <s v="%"/>
    <s v="Crude prevalence"/>
    <n v="19.5"/>
    <n v="27061"/>
    <s v="Cherry Creek"/>
    <n v="80209"/>
    <s v="Cherry Creek"/>
    <x v="3"/>
    <n v="4"/>
  </r>
  <r>
    <n v="2023"/>
    <n v="80209"/>
    <s v="Disability"/>
    <x v="17"/>
    <s v="%"/>
    <s v="Crude prevalence"/>
    <n v="19.5"/>
    <n v="27061"/>
    <s v="Belcaro"/>
    <n v="80209"/>
    <s v="Belcaro"/>
    <x v="0"/>
    <n v="1"/>
  </r>
  <r>
    <n v="2023"/>
    <n v="80209"/>
    <s v="Disability"/>
    <x v="17"/>
    <s v="%"/>
    <s v="Crude prevalence"/>
    <n v="19.5"/>
    <n v="27061"/>
    <s v="Washington Park"/>
    <n v="80209"/>
    <s v="Washington Park"/>
    <x v="0"/>
    <n v="4"/>
  </r>
  <r>
    <n v="2023"/>
    <n v="80209"/>
    <s v="Disability"/>
    <x v="17"/>
    <s v="%"/>
    <s v="Crude prevalence"/>
    <n v="19.5"/>
    <n v="27061"/>
    <s v="Country Club"/>
    <n v="80209"/>
    <s v="Country Club"/>
    <x v="0"/>
    <n v="4"/>
  </r>
  <r>
    <n v="2023"/>
    <n v="80209"/>
    <s v="Health Status"/>
    <x v="18"/>
    <s v="%"/>
    <s v="Crude prevalence"/>
    <n v="9.1"/>
    <n v="27061"/>
    <s v="Cherry Creek"/>
    <n v="80209"/>
    <s v="Cherry Creek"/>
    <x v="3"/>
    <n v="4"/>
  </r>
  <r>
    <n v="2023"/>
    <n v="80209"/>
    <s v="Health Status"/>
    <x v="18"/>
    <s v="%"/>
    <s v="Crude prevalence"/>
    <n v="9.1"/>
    <n v="27061"/>
    <s v="Belcaro"/>
    <n v="80209"/>
    <s v="Belcaro"/>
    <x v="0"/>
    <n v="1"/>
  </r>
  <r>
    <n v="2023"/>
    <n v="80209"/>
    <s v="Health Status"/>
    <x v="18"/>
    <s v="%"/>
    <s v="Crude prevalence"/>
    <n v="9.1"/>
    <n v="27061"/>
    <s v="Washington Park"/>
    <n v="80209"/>
    <s v="Washington Park"/>
    <x v="0"/>
    <n v="4"/>
  </r>
  <r>
    <n v="2023"/>
    <n v="80209"/>
    <s v="Health Status"/>
    <x v="18"/>
    <s v="%"/>
    <s v="Crude prevalence"/>
    <n v="9.1"/>
    <n v="27061"/>
    <s v="Country Club"/>
    <n v="80209"/>
    <s v="Country Club"/>
    <x v="0"/>
    <n v="4"/>
  </r>
  <r>
    <n v="2023"/>
    <n v="80209"/>
    <s v="Disability"/>
    <x v="19"/>
    <s v="%"/>
    <s v="Crude prevalence"/>
    <n v="4.9000000000000004"/>
    <n v="27061"/>
    <s v="Cherry Creek"/>
    <n v="80209"/>
    <s v="Cherry Creek"/>
    <x v="3"/>
    <n v="4"/>
  </r>
  <r>
    <n v="2023"/>
    <n v="80209"/>
    <s v="Disability"/>
    <x v="19"/>
    <s v="%"/>
    <s v="Crude prevalence"/>
    <n v="4.9000000000000004"/>
    <n v="27061"/>
    <s v="Belcaro"/>
    <n v="80209"/>
    <s v="Belcaro"/>
    <x v="0"/>
    <n v="1"/>
  </r>
  <r>
    <n v="2023"/>
    <n v="80209"/>
    <s v="Disability"/>
    <x v="19"/>
    <s v="%"/>
    <s v="Crude prevalence"/>
    <n v="4.9000000000000004"/>
    <n v="27061"/>
    <s v="Washington Park"/>
    <n v="80209"/>
    <s v="Washington Park"/>
    <x v="0"/>
    <n v="4"/>
  </r>
  <r>
    <n v="2023"/>
    <n v="80209"/>
    <s v="Disability"/>
    <x v="19"/>
    <s v="%"/>
    <s v="Crude prevalence"/>
    <n v="4.9000000000000004"/>
    <n v="27061"/>
    <s v="Country Club"/>
    <n v="80209"/>
    <s v="Country Club"/>
    <x v="0"/>
    <n v="4"/>
  </r>
  <r>
    <n v="2023"/>
    <n v="80209"/>
    <s v="Health Outcomes"/>
    <x v="20"/>
    <s v="%"/>
    <s v="Crude prevalence"/>
    <n v="28.7"/>
    <n v="27061"/>
    <s v="Cherry Creek"/>
    <n v="80209"/>
    <s v="Cherry Creek"/>
    <x v="3"/>
    <n v="4"/>
  </r>
  <r>
    <n v="2023"/>
    <n v="80209"/>
    <s v="Health Outcomes"/>
    <x v="20"/>
    <s v="%"/>
    <s v="Crude prevalence"/>
    <n v="28.7"/>
    <n v="27061"/>
    <s v="Belcaro"/>
    <n v="80209"/>
    <s v="Belcaro"/>
    <x v="0"/>
    <n v="1"/>
  </r>
  <r>
    <n v="2023"/>
    <n v="80209"/>
    <s v="Health Outcomes"/>
    <x v="20"/>
    <s v="%"/>
    <s v="Crude prevalence"/>
    <n v="28.7"/>
    <n v="27061"/>
    <s v="Washington Park"/>
    <n v="80209"/>
    <s v="Washington Park"/>
    <x v="0"/>
    <n v="4"/>
  </r>
  <r>
    <n v="2023"/>
    <n v="80209"/>
    <s v="Health Outcomes"/>
    <x v="20"/>
    <s v="%"/>
    <s v="Crude prevalence"/>
    <n v="28.7"/>
    <n v="27061"/>
    <s v="Country Club"/>
    <n v="80209"/>
    <s v="Country Club"/>
    <x v="0"/>
    <n v="4"/>
  </r>
  <r>
    <n v="2023"/>
    <n v="80209"/>
    <s v="Disability"/>
    <x v="21"/>
    <s v="%"/>
    <s v="Crude prevalence"/>
    <n v="4.4000000000000004"/>
    <n v="27061"/>
    <s v="Cherry Creek"/>
    <n v="80209"/>
    <s v="Cherry Creek"/>
    <x v="3"/>
    <n v="4"/>
  </r>
  <r>
    <n v="2023"/>
    <n v="80209"/>
    <s v="Disability"/>
    <x v="21"/>
    <s v="%"/>
    <s v="Crude prevalence"/>
    <n v="4.4000000000000004"/>
    <n v="27061"/>
    <s v="Belcaro"/>
    <n v="80209"/>
    <s v="Belcaro"/>
    <x v="0"/>
    <n v="1"/>
  </r>
  <r>
    <n v="2023"/>
    <n v="80209"/>
    <s v="Disability"/>
    <x v="21"/>
    <s v="%"/>
    <s v="Crude prevalence"/>
    <n v="4.4000000000000004"/>
    <n v="27061"/>
    <s v="Washington Park"/>
    <n v="80209"/>
    <s v="Washington Park"/>
    <x v="0"/>
    <n v="4"/>
  </r>
  <r>
    <n v="2023"/>
    <n v="80209"/>
    <s v="Disability"/>
    <x v="21"/>
    <s v="%"/>
    <s v="Crude prevalence"/>
    <n v="4.4000000000000004"/>
    <n v="27061"/>
    <s v="Country Club"/>
    <n v="80209"/>
    <s v="Country Club"/>
    <x v="0"/>
    <n v="4"/>
  </r>
  <r>
    <n v="2023"/>
    <n v="80209"/>
    <s v="Health Risk Behaviors"/>
    <x v="22"/>
    <s v="%"/>
    <s v="Crude prevalence"/>
    <n v="11.1"/>
    <n v="27061"/>
    <s v="Cherry Creek"/>
    <n v="80209"/>
    <s v="Cherry Creek"/>
    <x v="3"/>
    <n v="4"/>
  </r>
  <r>
    <n v="2023"/>
    <n v="80209"/>
    <s v="Health Risk Behaviors"/>
    <x v="22"/>
    <s v="%"/>
    <s v="Crude prevalence"/>
    <n v="11.1"/>
    <n v="27061"/>
    <s v="Belcaro"/>
    <n v="80209"/>
    <s v="Belcaro"/>
    <x v="0"/>
    <n v="1"/>
  </r>
  <r>
    <n v="2023"/>
    <n v="80209"/>
    <s v="Health Risk Behaviors"/>
    <x v="22"/>
    <s v="%"/>
    <s v="Crude prevalence"/>
    <n v="11.1"/>
    <n v="27061"/>
    <s v="Washington Park"/>
    <n v="80209"/>
    <s v="Washington Park"/>
    <x v="0"/>
    <n v="4"/>
  </r>
  <r>
    <n v="2023"/>
    <n v="80209"/>
    <s v="Health Risk Behaviors"/>
    <x v="22"/>
    <s v="%"/>
    <s v="Crude prevalence"/>
    <n v="11.1"/>
    <n v="27061"/>
    <s v="Country Club"/>
    <n v="80209"/>
    <s v="Country Club"/>
    <x v="0"/>
    <n v="4"/>
  </r>
  <r>
    <n v="2022"/>
    <n v="80209"/>
    <s v="Prevention"/>
    <x v="23"/>
    <s v="%"/>
    <s v="Crude prevalence"/>
    <n v="76.099999999999994"/>
    <n v="27061"/>
    <s v="Cherry Creek"/>
    <n v="80209"/>
    <s v="Cherry Creek"/>
    <x v="3"/>
    <n v="4"/>
  </r>
  <r>
    <n v="2022"/>
    <n v="80209"/>
    <s v="Prevention"/>
    <x v="23"/>
    <s v="%"/>
    <s v="Crude prevalence"/>
    <n v="76.099999999999994"/>
    <n v="27061"/>
    <s v="Belcaro"/>
    <n v="80209"/>
    <s v="Belcaro"/>
    <x v="0"/>
    <n v="1"/>
  </r>
  <r>
    <n v="2022"/>
    <n v="80209"/>
    <s v="Prevention"/>
    <x v="23"/>
    <s v="%"/>
    <s v="Crude prevalence"/>
    <n v="76.099999999999994"/>
    <n v="27061"/>
    <s v="Washington Park"/>
    <n v="80209"/>
    <s v="Washington Park"/>
    <x v="0"/>
    <n v="4"/>
  </r>
  <r>
    <n v="2022"/>
    <n v="80209"/>
    <s v="Prevention"/>
    <x v="23"/>
    <s v="%"/>
    <s v="Crude prevalence"/>
    <n v="76.099999999999994"/>
    <n v="27061"/>
    <s v="Country Club"/>
    <n v="80209"/>
    <s v="Country Club"/>
    <x v="0"/>
    <n v="4"/>
  </r>
  <r>
    <n v="2023"/>
    <n v="80209"/>
    <s v="Health Status"/>
    <x v="24"/>
    <s v="%"/>
    <s v="Crude prevalence"/>
    <n v="13"/>
    <n v="27061"/>
    <s v="Cherry Creek"/>
    <n v="80209"/>
    <s v="Cherry Creek"/>
    <x v="3"/>
    <n v="4"/>
  </r>
  <r>
    <n v="2023"/>
    <n v="80209"/>
    <s v="Health Status"/>
    <x v="24"/>
    <s v="%"/>
    <s v="Crude prevalence"/>
    <n v="13"/>
    <n v="27061"/>
    <s v="Belcaro"/>
    <n v="80209"/>
    <s v="Belcaro"/>
    <x v="0"/>
    <n v="1"/>
  </r>
  <r>
    <n v="2023"/>
    <n v="80209"/>
    <s v="Health Status"/>
    <x v="24"/>
    <s v="%"/>
    <s v="Crude prevalence"/>
    <n v="13"/>
    <n v="27061"/>
    <s v="Washington Park"/>
    <n v="80209"/>
    <s v="Washington Park"/>
    <x v="0"/>
    <n v="4"/>
  </r>
  <r>
    <n v="2023"/>
    <n v="80209"/>
    <s v="Health Status"/>
    <x v="24"/>
    <s v="%"/>
    <s v="Crude prevalence"/>
    <n v="13"/>
    <n v="27061"/>
    <s v="Country Club"/>
    <n v="80209"/>
    <s v="Country Club"/>
    <x v="0"/>
    <n v="4"/>
  </r>
  <r>
    <n v="2023"/>
    <n v="80209"/>
    <s v="Disability"/>
    <x v="25"/>
    <s v="%"/>
    <s v="Crude prevalence"/>
    <n v="6.5"/>
    <n v="27061"/>
    <s v="Cherry Creek"/>
    <n v="80209"/>
    <s v="Cherry Creek"/>
    <x v="3"/>
    <n v="4"/>
  </r>
  <r>
    <n v="2023"/>
    <n v="80209"/>
    <s v="Disability"/>
    <x v="25"/>
    <s v="%"/>
    <s v="Crude prevalence"/>
    <n v="6.5"/>
    <n v="27061"/>
    <s v="Belcaro"/>
    <n v="80209"/>
    <s v="Belcaro"/>
    <x v="0"/>
    <n v="1"/>
  </r>
  <r>
    <n v="2023"/>
    <n v="80209"/>
    <s v="Disability"/>
    <x v="25"/>
    <s v="%"/>
    <s v="Crude prevalence"/>
    <n v="6.5"/>
    <n v="27061"/>
    <s v="Washington Park"/>
    <n v="80209"/>
    <s v="Washington Park"/>
    <x v="0"/>
    <n v="4"/>
  </r>
  <r>
    <n v="2023"/>
    <n v="80209"/>
    <s v="Disability"/>
    <x v="25"/>
    <s v="%"/>
    <s v="Crude prevalence"/>
    <n v="6.5"/>
    <n v="27061"/>
    <s v="Country Club"/>
    <n v="80209"/>
    <s v="Country Club"/>
    <x v="0"/>
    <n v="4"/>
  </r>
  <r>
    <n v="2023"/>
    <n v="80209"/>
    <s v="Health Outcomes"/>
    <x v="26"/>
    <s v="%"/>
    <s v="Crude prevalence"/>
    <n v="18.100000000000001"/>
    <n v="27061"/>
    <s v="Cherry Creek"/>
    <n v="80209"/>
    <s v="Cherry Creek"/>
    <x v="3"/>
    <n v="4"/>
  </r>
  <r>
    <n v="2023"/>
    <n v="80209"/>
    <s v="Health Outcomes"/>
    <x v="26"/>
    <s v="%"/>
    <s v="Crude prevalence"/>
    <n v="18.100000000000001"/>
    <n v="27061"/>
    <s v="Belcaro"/>
    <n v="80209"/>
    <s v="Belcaro"/>
    <x v="0"/>
    <n v="1"/>
  </r>
  <r>
    <n v="2023"/>
    <n v="80209"/>
    <s v="Health Outcomes"/>
    <x v="26"/>
    <s v="%"/>
    <s v="Crude prevalence"/>
    <n v="18.100000000000001"/>
    <n v="27061"/>
    <s v="Washington Park"/>
    <n v="80209"/>
    <s v="Washington Park"/>
    <x v="0"/>
    <n v="4"/>
  </r>
  <r>
    <n v="2023"/>
    <n v="80209"/>
    <s v="Health Outcomes"/>
    <x v="26"/>
    <s v="%"/>
    <s v="Crude prevalence"/>
    <n v="18.100000000000001"/>
    <n v="27061"/>
    <s v="Country Club"/>
    <n v="80209"/>
    <s v="Country Club"/>
    <x v="0"/>
    <n v="4"/>
  </r>
  <r>
    <n v="2023"/>
    <n v="80209"/>
    <s v="Health Status"/>
    <x v="27"/>
    <s v="%"/>
    <s v="Crude prevalence"/>
    <n v="8.5"/>
    <n v="27061"/>
    <s v="Cherry Creek"/>
    <n v="80209"/>
    <s v="Cherry Creek"/>
    <x v="3"/>
    <n v="4"/>
  </r>
  <r>
    <n v="2023"/>
    <n v="80209"/>
    <s v="Health Status"/>
    <x v="27"/>
    <s v="%"/>
    <s v="Crude prevalence"/>
    <n v="8.5"/>
    <n v="27061"/>
    <s v="Belcaro"/>
    <n v="80209"/>
    <s v="Belcaro"/>
    <x v="0"/>
    <n v="1"/>
  </r>
  <r>
    <n v="2023"/>
    <n v="80209"/>
    <s v="Health Status"/>
    <x v="27"/>
    <s v="%"/>
    <s v="Crude prevalence"/>
    <n v="8.5"/>
    <n v="27061"/>
    <s v="Washington Park"/>
    <n v="80209"/>
    <s v="Washington Park"/>
    <x v="0"/>
    <n v="4"/>
  </r>
  <r>
    <n v="2023"/>
    <n v="80209"/>
    <s v="Health Status"/>
    <x v="27"/>
    <s v="%"/>
    <s v="Crude prevalence"/>
    <n v="8.5"/>
    <n v="27061"/>
    <s v="Country Club"/>
    <n v="80209"/>
    <s v="Country Club"/>
    <x v="0"/>
    <n v="4"/>
  </r>
  <r>
    <n v="2023"/>
    <n v="80209"/>
    <s v="Disability"/>
    <x v="28"/>
    <s v="%"/>
    <s v="Crude prevalence"/>
    <n v="1.7"/>
    <n v="27061"/>
    <s v="Cherry Creek"/>
    <n v="80209"/>
    <s v="Cherry Creek"/>
    <x v="3"/>
    <n v="4"/>
  </r>
  <r>
    <n v="2023"/>
    <n v="80209"/>
    <s v="Disability"/>
    <x v="28"/>
    <s v="%"/>
    <s v="Crude prevalence"/>
    <n v="1.7"/>
    <n v="27061"/>
    <s v="Belcaro"/>
    <n v="80209"/>
    <s v="Belcaro"/>
    <x v="0"/>
    <n v="1"/>
  </r>
  <r>
    <n v="2023"/>
    <n v="80209"/>
    <s v="Disability"/>
    <x v="28"/>
    <s v="%"/>
    <s v="Crude prevalence"/>
    <n v="1.7"/>
    <n v="27061"/>
    <s v="Washington Park"/>
    <n v="80209"/>
    <s v="Washington Park"/>
    <x v="0"/>
    <n v="4"/>
  </r>
  <r>
    <n v="2023"/>
    <n v="80209"/>
    <s v="Disability"/>
    <x v="28"/>
    <s v="%"/>
    <s v="Crude prevalence"/>
    <n v="1.7"/>
    <n v="27061"/>
    <s v="Country Club"/>
    <n v="80209"/>
    <s v="Country Club"/>
    <x v="0"/>
    <n v="4"/>
  </r>
  <r>
    <n v="2022"/>
    <n v="80209"/>
    <s v="Health Risk Behaviors"/>
    <x v="29"/>
    <s v="%"/>
    <s v="Crude prevalence"/>
    <n v="24.4"/>
    <n v="27061"/>
    <s v="Cherry Creek"/>
    <n v="80209"/>
    <s v="Cherry Creek"/>
    <x v="3"/>
    <n v="4"/>
  </r>
  <r>
    <n v="2022"/>
    <n v="80209"/>
    <s v="Health Risk Behaviors"/>
    <x v="29"/>
    <s v="%"/>
    <s v="Crude prevalence"/>
    <n v="24.4"/>
    <n v="27061"/>
    <s v="Belcaro"/>
    <n v="80209"/>
    <s v="Belcaro"/>
    <x v="0"/>
    <n v="1"/>
  </r>
  <r>
    <n v="2022"/>
    <n v="80209"/>
    <s v="Health Risk Behaviors"/>
    <x v="29"/>
    <s v="%"/>
    <s v="Crude prevalence"/>
    <n v="24.4"/>
    <n v="27061"/>
    <s v="Washington Park"/>
    <n v="80209"/>
    <s v="Washington Park"/>
    <x v="0"/>
    <n v="4"/>
  </r>
  <r>
    <n v="2022"/>
    <n v="80209"/>
    <s v="Health Risk Behaviors"/>
    <x v="29"/>
    <s v="%"/>
    <s v="Crude prevalence"/>
    <n v="24.4"/>
    <n v="27061"/>
    <s v="Country Club"/>
    <n v="80209"/>
    <s v="Country Club"/>
    <x v="0"/>
    <n v="4"/>
  </r>
  <r>
    <n v="2023"/>
    <n v="80209"/>
    <s v="Health Outcomes"/>
    <x v="30"/>
    <s v="%"/>
    <s v="Crude prevalence"/>
    <n v="1.9"/>
    <n v="27061"/>
    <s v="Cherry Creek"/>
    <n v="80209"/>
    <s v="Cherry Creek"/>
    <x v="3"/>
    <n v="4"/>
  </r>
  <r>
    <n v="2023"/>
    <n v="80209"/>
    <s v="Health Outcomes"/>
    <x v="30"/>
    <s v="%"/>
    <s v="Crude prevalence"/>
    <n v="1.9"/>
    <n v="27061"/>
    <s v="Belcaro"/>
    <n v="80209"/>
    <s v="Belcaro"/>
    <x v="0"/>
    <n v="1"/>
  </r>
  <r>
    <n v="2023"/>
    <n v="80209"/>
    <s v="Health Outcomes"/>
    <x v="30"/>
    <s v="%"/>
    <s v="Crude prevalence"/>
    <n v="1.9"/>
    <n v="27061"/>
    <s v="Washington Park"/>
    <n v="80209"/>
    <s v="Washington Park"/>
    <x v="0"/>
    <n v="4"/>
  </r>
  <r>
    <n v="2023"/>
    <n v="80209"/>
    <s v="Health Outcomes"/>
    <x v="30"/>
    <s v="%"/>
    <s v="Crude prevalence"/>
    <n v="1.9"/>
    <n v="27061"/>
    <s v="Country Club"/>
    <n v="80209"/>
    <s v="Country Club"/>
    <x v="0"/>
    <n v="4"/>
  </r>
  <r>
    <n v="2022"/>
    <n v="80209"/>
    <s v="Health Outcomes"/>
    <x v="31"/>
    <s v="%"/>
    <s v="Crude prevalence"/>
    <n v="4.8"/>
    <n v="27061"/>
    <s v="Cherry Creek"/>
    <n v="80209"/>
    <s v="Cherry Creek"/>
    <x v="3"/>
    <n v="4"/>
  </r>
  <r>
    <n v="2022"/>
    <n v="80209"/>
    <s v="Health Outcomes"/>
    <x v="31"/>
    <s v="%"/>
    <s v="Crude prevalence"/>
    <n v="4.8"/>
    <n v="27061"/>
    <s v="Belcaro"/>
    <n v="80209"/>
    <s v="Belcaro"/>
    <x v="0"/>
    <n v="1"/>
  </r>
  <r>
    <n v="2022"/>
    <n v="80209"/>
    <s v="Health Outcomes"/>
    <x v="31"/>
    <s v="%"/>
    <s v="Crude prevalence"/>
    <n v="4.8"/>
    <n v="27061"/>
    <s v="Washington Park"/>
    <n v="80209"/>
    <s v="Washington Park"/>
    <x v="0"/>
    <n v="4"/>
  </r>
  <r>
    <n v="2022"/>
    <n v="80209"/>
    <s v="Health Outcomes"/>
    <x v="31"/>
    <s v="%"/>
    <s v="Crude prevalence"/>
    <n v="4.8"/>
    <n v="27061"/>
    <s v="Country Club"/>
    <n v="80209"/>
    <s v="Country Club"/>
    <x v="0"/>
    <n v="4"/>
  </r>
  <r>
    <n v="2023"/>
    <n v="80209"/>
    <s v="Disability"/>
    <x v="32"/>
    <s v="%"/>
    <s v="Crude prevalence"/>
    <n v="2.4"/>
    <n v="27061"/>
    <s v="Cherry Creek"/>
    <n v="80209"/>
    <s v="Cherry Creek"/>
    <x v="3"/>
    <n v="4"/>
  </r>
  <r>
    <n v="2023"/>
    <n v="80209"/>
    <s v="Disability"/>
    <x v="32"/>
    <s v="%"/>
    <s v="Crude prevalence"/>
    <n v="2.4"/>
    <n v="27061"/>
    <s v="Belcaro"/>
    <n v="80209"/>
    <s v="Belcaro"/>
    <x v="0"/>
    <n v="1"/>
  </r>
  <r>
    <n v="2023"/>
    <n v="80209"/>
    <s v="Disability"/>
    <x v="32"/>
    <s v="%"/>
    <s v="Crude prevalence"/>
    <n v="2.4"/>
    <n v="27061"/>
    <s v="Washington Park"/>
    <n v="80209"/>
    <s v="Washington Park"/>
    <x v="0"/>
    <n v="4"/>
  </r>
  <r>
    <n v="2023"/>
    <n v="80209"/>
    <s v="Disability"/>
    <x v="32"/>
    <s v="%"/>
    <s v="Crude prevalence"/>
    <n v="2.4"/>
    <n v="27061"/>
    <s v="Country Club"/>
    <n v="80209"/>
    <s v="Country Club"/>
    <x v="0"/>
    <n v="4"/>
  </r>
  <r>
    <n v="2023"/>
    <n v="80210"/>
    <s v="Prevention"/>
    <x v="0"/>
    <s v="%"/>
    <s v="Crude prevalence"/>
    <n v="7.2"/>
    <n v="39394"/>
    <s v="Overland"/>
    <n v="80210"/>
    <s v="Overland"/>
    <x v="2"/>
    <n v="4"/>
  </r>
  <r>
    <n v="2023"/>
    <n v="80210"/>
    <s v="Prevention"/>
    <x v="0"/>
    <s v="%"/>
    <s v="Crude prevalence"/>
    <n v="7.2"/>
    <n v="39394"/>
    <s v="Cory - Merrill"/>
    <n v="80210"/>
    <s v="Cory - Merrill"/>
    <x v="2"/>
    <n v="2"/>
  </r>
  <r>
    <n v="2023"/>
    <n v="80210"/>
    <s v="Prevention"/>
    <x v="0"/>
    <s v="%"/>
    <s v="Crude prevalence"/>
    <n v="7.2"/>
    <n v="39394"/>
    <s v="University"/>
    <n v="80210"/>
    <s v="University"/>
    <x v="2"/>
    <n v="2"/>
  </r>
  <r>
    <n v="2023"/>
    <n v="80210"/>
    <s v="Prevention"/>
    <x v="0"/>
    <s v="%"/>
    <s v="Crude prevalence"/>
    <n v="7.2"/>
    <n v="39394"/>
    <s v="Platt Park"/>
    <n v="80210"/>
    <s v="Platt Park"/>
    <x v="2"/>
    <n v="2"/>
  </r>
  <r>
    <n v="2023"/>
    <n v="80210"/>
    <s v="Prevention"/>
    <x v="0"/>
    <s v="%"/>
    <s v="Crude prevalence"/>
    <n v="7.2"/>
    <n v="39394"/>
    <s v="Wellshire"/>
    <n v="80210"/>
    <s v="Wellshire"/>
    <x v="0"/>
    <n v="2"/>
  </r>
  <r>
    <n v="2023"/>
    <n v="80210"/>
    <s v="Health Outcomes"/>
    <x v="1"/>
    <s v="%"/>
    <s v="Crude prevalence"/>
    <n v="16.7"/>
    <n v="39394"/>
    <s v="Overland"/>
    <n v="80210"/>
    <s v="Overland"/>
    <x v="2"/>
    <n v="4"/>
  </r>
  <r>
    <n v="2023"/>
    <n v="80210"/>
    <s v="Health Outcomes"/>
    <x v="1"/>
    <s v="%"/>
    <s v="Crude prevalence"/>
    <n v="16.7"/>
    <n v="39394"/>
    <s v="Cory - Merrill"/>
    <n v="80210"/>
    <s v="Cory - Merrill"/>
    <x v="2"/>
    <n v="2"/>
  </r>
  <r>
    <n v="2023"/>
    <n v="80210"/>
    <s v="Health Outcomes"/>
    <x v="1"/>
    <s v="%"/>
    <s v="Crude prevalence"/>
    <n v="16.7"/>
    <n v="39394"/>
    <s v="University"/>
    <n v="80210"/>
    <s v="University"/>
    <x v="2"/>
    <n v="2"/>
  </r>
  <r>
    <n v="2023"/>
    <n v="80210"/>
    <s v="Health Outcomes"/>
    <x v="1"/>
    <s v="%"/>
    <s v="Crude prevalence"/>
    <n v="16.7"/>
    <n v="39394"/>
    <s v="Platt Park"/>
    <n v="80210"/>
    <s v="Platt Park"/>
    <x v="2"/>
    <n v="2"/>
  </r>
  <r>
    <n v="2023"/>
    <n v="80210"/>
    <s v="Health Outcomes"/>
    <x v="1"/>
    <s v="%"/>
    <s v="Crude prevalence"/>
    <n v="16.7"/>
    <n v="39394"/>
    <s v="Wellshire"/>
    <n v="80210"/>
    <s v="Wellshire"/>
    <x v="0"/>
    <n v="2"/>
  </r>
  <r>
    <n v="2023"/>
    <n v="80210"/>
    <s v="Health Risk Behaviors"/>
    <x v="2"/>
    <s v="%"/>
    <s v="Crude prevalence"/>
    <n v="27.9"/>
    <n v="39394"/>
    <s v="Overland"/>
    <n v="80210"/>
    <s v="Overland"/>
    <x v="2"/>
    <n v="4"/>
  </r>
  <r>
    <n v="2023"/>
    <n v="80210"/>
    <s v="Health Risk Behaviors"/>
    <x v="2"/>
    <s v="%"/>
    <s v="Crude prevalence"/>
    <n v="27.9"/>
    <n v="39394"/>
    <s v="Cory - Merrill"/>
    <n v="80210"/>
    <s v="Cory - Merrill"/>
    <x v="2"/>
    <n v="2"/>
  </r>
  <r>
    <n v="2023"/>
    <n v="80210"/>
    <s v="Health Risk Behaviors"/>
    <x v="2"/>
    <s v="%"/>
    <s v="Crude prevalence"/>
    <n v="27.9"/>
    <n v="39394"/>
    <s v="University"/>
    <n v="80210"/>
    <s v="University"/>
    <x v="2"/>
    <n v="2"/>
  </r>
  <r>
    <n v="2023"/>
    <n v="80210"/>
    <s v="Health Risk Behaviors"/>
    <x v="2"/>
    <s v="%"/>
    <s v="Crude prevalence"/>
    <n v="27.9"/>
    <n v="39394"/>
    <s v="Platt Park"/>
    <n v="80210"/>
    <s v="Platt Park"/>
    <x v="2"/>
    <n v="2"/>
  </r>
  <r>
    <n v="2023"/>
    <n v="80210"/>
    <s v="Health Risk Behaviors"/>
    <x v="2"/>
    <s v="%"/>
    <s v="Crude prevalence"/>
    <n v="27.9"/>
    <n v="39394"/>
    <s v="Wellshire"/>
    <n v="80210"/>
    <s v="Wellshire"/>
    <x v="0"/>
    <n v="2"/>
  </r>
  <r>
    <n v="2023"/>
    <n v="80210"/>
    <s v="Health Outcomes"/>
    <x v="3"/>
    <s v="%"/>
    <s v="Crude prevalence"/>
    <n v="18.3"/>
    <n v="39394"/>
    <s v="Overland"/>
    <n v="80210"/>
    <s v="Overland"/>
    <x v="2"/>
    <n v="4"/>
  </r>
  <r>
    <n v="2023"/>
    <n v="80210"/>
    <s v="Health Outcomes"/>
    <x v="3"/>
    <s v="%"/>
    <s v="Crude prevalence"/>
    <n v="18.3"/>
    <n v="39394"/>
    <s v="Cory - Merrill"/>
    <n v="80210"/>
    <s v="Cory - Merrill"/>
    <x v="2"/>
    <n v="2"/>
  </r>
  <r>
    <n v="2023"/>
    <n v="80210"/>
    <s v="Health Outcomes"/>
    <x v="3"/>
    <s v="%"/>
    <s v="Crude prevalence"/>
    <n v="18.3"/>
    <n v="39394"/>
    <s v="University"/>
    <n v="80210"/>
    <s v="University"/>
    <x v="2"/>
    <n v="2"/>
  </r>
  <r>
    <n v="2023"/>
    <n v="80210"/>
    <s v="Health Outcomes"/>
    <x v="3"/>
    <s v="%"/>
    <s v="Crude prevalence"/>
    <n v="18.3"/>
    <n v="39394"/>
    <s v="Platt Park"/>
    <n v="80210"/>
    <s v="Platt Park"/>
    <x v="2"/>
    <n v="2"/>
  </r>
  <r>
    <n v="2023"/>
    <n v="80210"/>
    <s v="Health Outcomes"/>
    <x v="3"/>
    <s v="%"/>
    <s v="Crude prevalence"/>
    <n v="18.3"/>
    <n v="39394"/>
    <s v="Wellshire"/>
    <n v="80210"/>
    <s v="Wellshire"/>
    <x v="0"/>
    <n v="2"/>
  </r>
  <r>
    <n v="2023"/>
    <n v="80210"/>
    <s v="Prevention"/>
    <x v="4"/>
    <s v="%"/>
    <s v="Crude prevalence"/>
    <n v="63.6"/>
    <n v="39394"/>
    <s v="Overland"/>
    <n v="80210"/>
    <s v="Overland"/>
    <x v="2"/>
    <n v="4"/>
  </r>
  <r>
    <n v="2023"/>
    <n v="80210"/>
    <s v="Prevention"/>
    <x v="4"/>
    <s v="%"/>
    <s v="Crude prevalence"/>
    <n v="63.6"/>
    <n v="39394"/>
    <s v="Cory - Merrill"/>
    <n v="80210"/>
    <s v="Cory - Merrill"/>
    <x v="2"/>
    <n v="2"/>
  </r>
  <r>
    <n v="2023"/>
    <n v="80210"/>
    <s v="Prevention"/>
    <x v="4"/>
    <s v="%"/>
    <s v="Crude prevalence"/>
    <n v="63.6"/>
    <n v="39394"/>
    <s v="University"/>
    <n v="80210"/>
    <s v="University"/>
    <x v="2"/>
    <n v="2"/>
  </r>
  <r>
    <n v="2023"/>
    <n v="80210"/>
    <s v="Prevention"/>
    <x v="4"/>
    <s v="%"/>
    <s v="Crude prevalence"/>
    <n v="63.6"/>
    <n v="39394"/>
    <s v="Platt Park"/>
    <n v="80210"/>
    <s v="Platt Park"/>
    <x v="2"/>
    <n v="2"/>
  </r>
  <r>
    <n v="2023"/>
    <n v="80210"/>
    <s v="Prevention"/>
    <x v="4"/>
    <s v="%"/>
    <s v="Crude prevalence"/>
    <n v="63.6"/>
    <n v="39394"/>
    <s v="Wellshire"/>
    <n v="80210"/>
    <s v="Wellshire"/>
    <x v="0"/>
    <n v="2"/>
  </r>
  <r>
    <n v="2023"/>
    <n v="80210"/>
    <s v="Health Outcomes"/>
    <x v="5"/>
    <s v="%"/>
    <s v="Crude prevalence"/>
    <n v="6.5"/>
    <n v="39394"/>
    <s v="Overland"/>
    <n v="80210"/>
    <s v="Overland"/>
    <x v="2"/>
    <n v="4"/>
  </r>
  <r>
    <n v="2023"/>
    <n v="80210"/>
    <s v="Health Outcomes"/>
    <x v="5"/>
    <s v="%"/>
    <s v="Crude prevalence"/>
    <n v="6.5"/>
    <n v="39394"/>
    <s v="Cory - Merrill"/>
    <n v="80210"/>
    <s v="Cory - Merrill"/>
    <x v="2"/>
    <n v="2"/>
  </r>
  <r>
    <n v="2023"/>
    <n v="80210"/>
    <s v="Health Outcomes"/>
    <x v="5"/>
    <s v="%"/>
    <s v="Crude prevalence"/>
    <n v="6.5"/>
    <n v="39394"/>
    <s v="University"/>
    <n v="80210"/>
    <s v="University"/>
    <x v="2"/>
    <n v="2"/>
  </r>
  <r>
    <n v="2023"/>
    <n v="80210"/>
    <s v="Health Outcomes"/>
    <x v="5"/>
    <s v="%"/>
    <s v="Crude prevalence"/>
    <n v="6.5"/>
    <n v="39394"/>
    <s v="Platt Park"/>
    <n v="80210"/>
    <s v="Platt Park"/>
    <x v="2"/>
    <n v="2"/>
  </r>
  <r>
    <n v="2023"/>
    <n v="80210"/>
    <s v="Health Outcomes"/>
    <x v="5"/>
    <s v="%"/>
    <s v="Crude prevalence"/>
    <n v="6.5"/>
    <n v="39394"/>
    <s v="Wellshire"/>
    <n v="80210"/>
    <s v="Wellshire"/>
    <x v="0"/>
    <n v="2"/>
  </r>
  <r>
    <n v="2023"/>
    <n v="80210"/>
    <s v="Health Outcomes"/>
    <x v="6"/>
    <s v="%"/>
    <s v="Crude prevalence"/>
    <n v="10.4"/>
    <n v="39394"/>
    <s v="Overland"/>
    <n v="80210"/>
    <s v="Overland"/>
    <x v="2"/>
    <n v="4"/>
  </r>
  <r>
    <n v="2023"/>
    <n v="80210"/>
    <s v="Health Outcomes"/>
    <x v="6"/>
    <s v="%"/>
    <s v="Crude prevalence"/>
    <n v="10.4"/>
    <n v="39394"/>
    <s v="Cory - Merrill"/>
    <n v="80210"/>
    <s v="Cory - Merrill"/>
    <x v="2"/>
    <n v="2"/>
  </r>
  <r>
    <n v="2023"/>
    <n v="80210"/>
    <s v="Health Outcomes"/>
    <x v="6"/>
    <s v="%"/>
    <s v="Crude prevalence"/>
    <n v="10.4"/>
    <n v="39394"/>
    <s v="University"/>
    <n v="80210"/>
    <s v="University"/>
    <x v="2"/>
    <n v="2"/>
  </r>
  <r>
    <n v="2023"/>
    <n v="80210"/>
    <s v="Health Outcomes"/>
    <x v="6"/>
    <s v="%"/>
    <s v="Crude prevalence"/>
    <n v="10.4"/>
    <n v="39394"/>
    <s v="Platt Park"/>
    <n v="80210"/>
    <s v="Platt Park"/>
    <x v="2"/>
    <n v="2"/>
  </r>
  <r>
    <n v="2023"/>
    <n v="80210"/>
    <s v="Health Outcomes"/>
    <x v="6"/>
    <s v="%"/>
    <s v="Crude prevalence"/>
    <n v="10.4"/>
    <n v="39394"/>
    <s v="Wellshire"/>
    <n v="80210"/>
    <s v="Wellshire"/>
    <x v="0"/>
    <n v="2"/>
  </r>
  <r>
    <n v="2023"/>
    <n v="80210"/>
    <s v="Health Outcomes"/>
    <x v="7"/>
    <s v="%"/>
    <s v="Crude prevalence"/>
    <n v="3.4"/>
    <n v="39394"/>
    <s v="Overland"/>
    <n v="80210"/>
    <s v="Overland"/>
    <x v="2"/>
    <n v="4"/>
  </r>
  <r>
    <n v="2023"/>
    <n v="80210"/>
    <s v="Health Outcomes"/>
    <x v="7"/>
    <s v="%"/>
    <s v="Crude prevalence"/>
    <n v="3.4"/>
    <n v="39394"/>
    <s v="Cory - Merrill"/>
    <n v="80210"/>
    <s v="Cory - Merrill"/>
    <x v="2"/>
    <n v="2"/>
  </r>
  <r>
    <n v="2023"/>
    <n v="80210"/>
    <s v="Health Outcomes"/>
    <x v="7"/>
    <s v="%"/>
    <s v="Crude prevalence"/>
    <n v="3.4"/>
    <n v="39394"/>
    <s v="University"/>
    <n v="80210"/>
    <s v="University"/>
    <x v="2"/>
    <n v="2"/>
  </r>
  <r>
    <n v="2023"/>
    <n v="80210"/>
    <s v="Health Outcomes"/>
    <x v="7"/>
    <s v="%"/>
    <s v="Crude prevalence"/>
    <n v="3.4"/>
    <n v="39394"/>
    <s v="Platt Park"/>
    <n v="80210"/>
    <s v="Platt Park"/>
    <x v="2"/>
    <n v="2"/>
  </r>
  <r>
    <n v="2023"/>
    <n v="80210"/>
    <s v="Health Outcomes"/>
    <x v="7"/>
    <s v="%"/>
    <s v="Crude prevalence"/>
    <n v="3.4"/>
    <n v="39394"/>
    <s v="Wellshire"/>
    <n v="80210"/>
    <s v="Wellshire"/>
    <x v="0"/>
    <n v="2"/>
  </r>
  <r>
    <n v="2023"/>
    <n v="80210"/>
    <s v="Prevention"/>
    <x v="8"/>
    <s v="%"/>
    <s v="Crude prevalence"/>
    <n v="69.400000000000006"/>
    <n v="39394"/>
    <s v="Overland"/>
    <n v="80210"/>
    <s v="Overland"/>
    <x v="2"/>
    <n v="4"/>
  </r>
  <r>
    <n v="2023"/>
    <n v="80210"/>
    <s v="Prevention"/>
    <x v="8"/>
    <s v="%"/>
    <s v="Crude prevalence"/>
    <n v="69.400000000000006"/>
    <n v="39394"/>
    <s v="Cory - Merrill"/>
    <n v="80210"/>
    <s v="Cory - Merrill"/>
    <x v="2"/>
    <n v="2"/>
  </r>
  <r>
    <n v="2023"/>
    <n v="80210"/>
    <s v="Prevention"/>
    <x v="8"/>
    <s v="%"/>
    <s v="Crude prevalence"/>
    <n v="69.400000000000006"/>
    <n v="39394"/>
    <s v="University"/>
    <n v="80210"/>
    <s v="University"/>
    <x v="2"/>
    <n v="2"/>
  </r>
  <r>
    <n v="2023"/>
    <n v="80210"/>
    <s v="Prevention"/>
    <x v="8"/>
    <s v="%"/>
    <s v="Crude prevalence"/>
    <n v="69.400000000000006"/>
    <n v="39394"/>
    <s v="Platt Park"/>
    <n v="80210"/>
    <s v="Platt Park"/>
    <x v="2"/>
    <n v="2"/>
  </r>
  <r>
    <n v="2023"/>
    <n v="80210"/>
    <s v="Prevention"/>
    <x v="8"/>
    <s v="%"/>
    <s v="Crude prevalence"/>
    <n v="69.400000000000006"/>
    <n v="39394"/>
    <s v="Wellshire"/>
    <n v="80210"/>
    <s v="Wellshire"/>
    <x v="0"/>
    <n v="2"/>
  </r>
  <r>
    <n v="2023"/>
    <n v="80210"/>
    <s v="Prevention"/>
    <x v="9"/>
    <s v="%"/>
    <s v="Crude prevalence"/>
    <n v="83.7"/>
    <n v="39394"/>
    <s v="Overland"/>
    <n v="80210"/>
    <s v="Overland"/>
    <x v="2"/>
    <n v="4"/>
  </r>
  <r>
    <n v="2023"/>
    <n v="80210"/>
    <s v="Prevention"/>
    <x v="9"/>
    <s v="%"/>
    <s v="Crude prevalence"/>
    <n v="83.7"/>
    <n v="39394"/>
    <s v="Cory - Merrill"/>
    <n v="80210"/>
    <s v="Cory - Merrill"/>
    <x v="2"/>
    <n v="2"/>
  </r>
  <r>
    <n v="2023"/>
    <n v="80210"/>
    <s v="Prevention"/>
    <x v="9"/>
    <s v="%"/>
    <s v="Crude prevalence"/>
    <n v="83.7"/>
    <n v="39394"/>
    <s v="University"/>
    <n v="80210"/>
    <s v="University"/>
    <x v="2"/>
    <n v="2"/>
  </r>
  <r>
    <n v="2023"/>
    <n v="80210"/>
    <s v="Prevention"/>
    <x v="9"/>
    <s v="%"/>
    <s v="Crude prevalence"/>
    <n v="83.7"/>
    <n v="39394"/>
    <s v="Platt Park"/>
    <n v="80210"/>
    <s v="Platt Park"/>
    <x v="2"/>
    <n v="2"/>
  </r>
  <r>
    <n v="2023"/>
    <n v="80210"/>
    <s v="Prevention"/>
    <x v="9"/>
    <s v="%"/>
    <s v="Crude prevalence"/>
    <n v="83.7"/>
    <n v="39394"/>
    <s v="Wellshire"/>
    <n v="80210"/>
    <s v="Wellshire"/>
    <x v="0"/>
    <n v="2"/>
  </r>
  <r>
    <n v="2023"/>
    <n v="80210"/>
    <s v="Disability"/>
    <x v="10"/>
    <s v="%"/>
    <s v="Crude prevalence"/>
    <n v="12"/>
    <n v="39394"/>
    <s v="Overland"/>
    <n v="80210"/>
    <s v="Overland"/>
    <x v="2"/>
    <n v="4"/>
  </r>
  <r>
    <n v="2023"/>
    <n v="80210"/>
    <s v="Disability"/>
    <x v="10"/>
    <s v="%"/>
    <s v="Crude prevalence"/>
    <n v="12"/>
    <n v="39394"/>
    <s v="Cory - Merrill"/>
    <n v="80210"/>
    <s v="Cory - Merrill"/>
    <x v="2"/>
    <n v="2"/>
  </r>
  <r>
    <n v="2023"/>
    <n v="80210"/>
    <s v="Disability"/>
    <x v="10"/>
    <s v="%"/>
    <s v="Crude prevalence"/>
    <n v="12"/>
    <n v="39394"/>
    <s v="University"/>
    <n v="80210"/>
    <s v="University"/>
    <x v="2"/>
    <n v="2"/>
  </r>
  <r>
    <n v="2023"/>
    <n v="80210"/>
    <s v="Disability"/>
    <x v="10"/>
    <s v="%"/>
    <s v="Crude prevalence"/>
    <n v="12"/>
    <n v="39394"/>
    <s v="Platt Park"/>
    <n v="80210"/>
    <s v="Platt Park"/>
    <x v="2"/>
    <n v="2"/>
  </r>
  <r>
    <n v="2023"/>
    <n v="80210"/>
    <s v="Disability"/>
    <x v="10"/>
    <s v="%"/>
    <s v="Crude prevalence"/>
    <n v="12"/>
    <n v="39394"/>
    <s v="Wellshire"/>
    <n v="80210"/>
    <s v="Wellshire"/>
    <x v="0"/>
    <n v="2"/>
  </r>
  <r>
    <n v="2022"/>
    <n v="80210"/>
    <s v="Prevention"/>
    <x v="11"/>
    <s v="%"/>
    <s v="Crude prevalence"/>
    <n v="67"/>
    <n v="39394"/>
    <s v="Overland"/>
    <n v="80210"/>
    <s v="Overland"/>
    <x v="2"/>
    <n v="4"/>
  </r>
  <r>
    <n v="2022"/>
    <n v="80210"/>
    <s v="Prevention"/>
    <x v="11"/>
    <s v="%"/>
    <s v="Crude prevalence"/>
    <n v="67"/>
    <n v="39394"/>
    <s v="Cory - Merrill"/>
    <n v="80210"/>
    <s v="Cory - Merrill"/>
    <x v="2"/>
    <n v="2"/>
  </r>
  <r>
    <n v="2022"/>
    <n v="80210"/>
    <s v="Prevention"/>
    <x v="11"/>
    <s v="%"/>
    <s v="Crude prevalence"/>
    <n v="67"/>
    <n v="39394"/>
    <s v="University"/>
    <n v="80210"/>
    <s v="University"/>
    <x v="2"/>
    <n v="2"/>
  </r>
  <r>
    <n v="2022"/>
    <n v="80210"/>
    <s v="Prevention"/>
    <x v="11"/>
    <s v="%"/>
    <s v="Crude prevalence"/>
    <n v="67"/>
    <n v="39394"/>
    <s v="Platt Park"/>
    <n v="80210"/>
    <s v="Platt Park"/>
    <x v="2"/>
    <n v="2"/>
  </r>
  <r>
    <n v="2022"/>
    <n v="80210"/>
    <s v="Prevention"/>
    <x v="11"/>
    <s v="%"/>
    <s v="Crude prevalence"/>
    <n v="67"/>
    <n v="39394"/>
    <s v="Wellshire"/>
    <n v="80210"/>
    <s v="Wellshire"/>
    <x v="0"/>
    <n v="2"/>
  </r>
  <r>
    <n v="2023"/>
    <n v="80210"/>
    <s v="Health Outcomes"/>
    <x v="12"/>
    <s v="%"/>
    <s v="Crude prevalence"/>
    <n v="3.3"/>
    <n v="39394"/>
    <s v="Overland"/>
    <n v="80210"/>
    <s v="Overland"/>
    <x v="2"/>
    <n v="4"/>
  </r>
  <r>
    <n v="2023"/>
    <n v="80210"/>
    <s v="Health Outcomes"/>
    <x v="12"/>
    <s v="%"/>
    <s v="Crude prevalence"/>
    <n v="3.3"/>
    <n v="39394"/>
    <s v="Cory - Merrill"/>
    <n v="80210"/>
    <s v="Cory - Merrill"/>
    <x v="2"/>
    <n v="2"/>
  </r>
  <r>
    <n v="2023"/>
    <n v="80210"/>
    <s v="Health Outcomes"/>
    <x v="12"/>
    <s v="%"/>
    <s v="Crude prevalence"/>
    <n v="3.3"/>
    <n v="39394"/>
    <s v="University"/>
    <n v="80210"/>
    <s v="University"/>
    <x v="2"/>
    <n v="2"/>
  </r>
  <r>
    <n v="2023"/>
    <n v="80210"/>
    <s v="Health Outcomes"/>
    <x v="12"/>
    <s v="%"/>
    <s v="Crude prevalence"/>
    <n v="3.3"/>
    <n v="39394"/>
    <s v="Platt Park"/>
    <n v="80210"/>
    <s v="Platt Park"/>
    <x v="2"/>
    <n v="2"/>
  </r>
  <r>
    <n v="2023"/>
    <n v="80210"/>
    <s v="Health Outcomes"/>
    <x v="12"/>
    <s v="%"/>
    <s v="Crude prevalence"/>
    <n v="3.3"/>
    <n v="39394"/>
    <s v="Wellshire"/>
    <n v="80210"/>
    <s v="Wellshire"/>
    <x v="0"/>
    <n v="2"/>
  </r>
  <r>
    <n v="2023"/>
    <n v="80210"/>
    <s v="Health Risk Behaviors"/>
    <x v="13"/>
    <s v="%"/>
    <s v="Crude prevalence"/>
    <n v="7.6"/>
    <n v="39394"/>
    <s v="Overland"/>
    <n v="80210"/>
    <s v="Overland"/>
    <x v="2"/>
    <n v="4"/>
  </r>
  <r>
    <n v="2023"/>
    <n v="80210"/>
    <s v="Health Risk Behaviors"/>
    <x v="13"/>
    <s v="%"/>
    <s v="Crude prevalence"/>
    <n v="7.6"/>
    <n v="39394"/>
    <s v="Cory - Merrill"/>
    <n v="80210"/>
    <s v="Cory - Merrill"/>
    <x v="2"/>
    <n v="2"/>
  </r>
  <r>
    <n v="2023"/>
    <n v="80210"/>
    <s v="Health Risk Behaviors"/>
    <x v="13"/>
    <s v="%"/>
    <s v="Crude prevalence"/>
    <n v="7.6"/>
    <n v="39394"/>
    <s v="University"/>
    <n v="80210"/>
    <s v="University"/>
    <x v="2"/>
    <n v="2"/>
  </r>
  <r>
    <n v="2023"/>
    <n v="80210"/>
    <s v="Health Risk Behaviors"/>
    <x v="13"/>
    <s v="%"/>
    <s v="Crude prevalence"/>
    <n v="7.6"/>
    <n v="39394"/>
    <s v="Platt Park"/>
    <n v="80210"/>
    <s v="Platt Park"/>
    <x v="2"/>
    <n v="2"/>
  </r>
  <r>
    <n v="2023"/>
    <n v="80210"/>
    <s v="Health Risk Behaviors"/>
    <x v="13"/>
    <s v="%"/>
    <s v="Crude prevalence"/>
    <n v="7.6"/>
    <n v="39394"/>
    <s v="Wellshire"/>
    <n v="80210"/>
    <s v="Wellshire"/>
    <x v="0"/>
    <n v="2"/>
  </r>
  <r>
    <n v="2022"/>
    <n v="80210"/>
    <s v="Prevention"/>
    <x v="14"/>
    <s v="%"/>
    <s v="Crude prevalence"/>
    <n v="72.2"/>
    <n v="39394"/>
    <s v="Overland"/>
    <n v="80210"/>
    <s v="Overland"/>
    <x v="2"/>
    <n v="4"/>
  </r>
  <r>
    <n v="2022"/>
    <n v="80210"/>
    <s v="Prevention"/>
    <x v="14"/>
    <s v="%"/>
    <s v="Crude prevalence"/>
    <n v="72.2"/>
    <n v="39394"/>
    <s v="Cory - Merrill"/>
    <n v="80210"/>
    <s v="Cory - Merrill"/>
    <x v="2"/>
    <n v="2"/>
  </r>
  <r>
    <n v="2022"/>
    <n v="80210"/>
    <s v="Prevention"/>
    <x v="14"/>
    <s v="%"/>
    <s v="Crude prevalence"/>
    <n v="72.2"/>
    <n v="39394"/>
    <s v="University"/>
    <n v="80210"/>
    <s v="University"/>
    <x v="2"/>
    <n v="2"/>
  </r>
  <r>
    <n v="2022"/>
    <n v="80210"/>
    <s v="Prevention"/>
    <x v="14"/>
    <s v="%"/>
    <s v="Crude prevalence"/>
    <n v="72.2"/>
    <n v="39394"/>
    <s v="Platt Park"/>
    <n v="80210"/>
    <s v="Platt Park"/>
    <x v="2"/>
    <n v="2"/>
  </r>
  <r>
    <n v="2022"/>
    <n v="80210"/>
    <s v="Prevention"/>
    <x v="14"/>
    <s v="%"/>
    <s v="Crude prevalence"/>
    <n v="72.2"/>
    <n v="39394"/>
    <s v="Wellshire"/>
    <n v="80210"/>
    <s v="Wellshire"/>
    <x v="0"/>
    <n v="2"/>
  </r>
  <r>
    <n v="2023"/>
    <n v="80210"/>
    <s v="Health Outcomes"/>
    <x v="15"/>
    <s v="%"/>
    <s v="Crude prevalence"/>
    <n v="24.3"/>
    <n v="39394"/>
    <s v="Overland"/>
    <n v="80210"/>
    <s v="Overland"/>
    <x v="2"/>
    <n v="4"/>
  </r>
  <r>
    <n v="2023"/>
    <n v="80210"/>
    <s v="Health Outcomes"/>
    <x v="15"/>
    <s v="%"/>
    <s v="Crude prevalence"/>
    <n v="24.3"/>
    <n v="39394"/>
    <s v="Cory - Merrill"/>
    <n v="80210"/>
    <s v="Cory - Merrill"/>
    <x v="2"/>
    <n v="2"/>
  </r>
  <r>
    <n v="2023"/>
    <n v="80210"/>
    <s v="Health Outcomes"/>
    <x v="15"/>
    <s v="%"/>
    <s v="Crude prevalence"/>
    <n v="24.3"/>
    <n v="39394"/>
    <s v="University"/>
    <n v="80210"/>
    <s v="University"/>
    <x v="2"/>
    <n v="2"/>
  </r>
  <r>
    <n v="2023"/>
    <n v="80210"/>
    <s v="Health Outcomes"/>
    <x v="15"/>
    <s v="%"/>
    <s v="Crude prevalence"/>
    <n v="24.3"/>
    <n v="39394"/>
    <s v="Platt Park"/>
    <n v="80210"/>
    <s v="Platt Park"/>
    <x v="2"/>
    <n v="2"/>
  </r>
  <r>
    <n v="2023"/>
    <n v="80210"/>
    <s v="Health Outcomes"/>
    <x v="15"/>
    <s v="%"/>
    <s v="Crude prevalence"/>
    <n v="24.3"/>
    <n v="39394"/>
    <s v="Wellshire"/>
    <n v="80210"/>
    <s v="Wellshire"/>
    <x v="0"/>
    <n v="2"/>
  </r>
  <r>
    <n v="2023"/>
    <n v="80210"/>
    <s v="Health Outcomes"/>
    <x v="16"/>
    <s v="%"/>
    <s v="Crude prevalence"/>
    <n v="5"/>
    <n v="39394"/>
    <s v="Overland"/>
    <n v="80210"/>
    <s v="Overland"/>
    <x v="2"/>
    <n v="4"/>
  </r>
  <r>
    <n v="2023"/>
    <n v="80210"/>
    <s v="Health Outcomes"/>
    <x v="16"/>
    <s v="%"/>
    <s v="Crude prevalence"/>
    <n v="5"/>
    <n v="39394"/>
    <s v="Cory - Merrill"/>
    <n v="80210"/>
    <s v="Cory - Merrill"/>
    <x v="2"/>
    <n v="2"/>
  </r>
  <r>
    <n v="2023"/>
    <n v="80210"/>
    <s v="Health Outcomes"/>
    <x v="16"/>
    <s v="%"/>
    <s v="Crude prevalence"/>
    <n v="5"/>
    <n v="39394"/>
    <s v="University"/>
    <n v="80210"/>
    <s v="University"/>
    <x v="2"/>
    <n v="2"/>
  </r>
  <r>
    <n v="2023"/>
    <n v="80210"/>
    <s v="Health Outcomes"/>
    <x v="16"/>
    <s v="%"/>
    <s v="Crude prevalence"/>
    <n v="5"/>
    <n v="39394"/>
    <s v="Platt Park"/>
    <n v="80210"/>
    <s v="Platt Park"/>
    <x v="2"/>
    <n v="2"/>
  </r>
  <r>
    <n v="2023"/>
    <n v="80210"/>
    <s v="Health Outcomes"/>
    <x v="16"/>
    <s v="%"/>
    <s v="Crude prevalence"/>
    <n v="5"/>
    <n v="39394"/>
    <s v="Wellshire"/>
    <n v="80210"/>
    <s v="Wellshire"/>
    <x v="0"/>
    <n v="2"/>
  </r>
  <r>
    <n v="2023"/>
    <n v="80210"/>
    <s v="Disability"/>
    <x v="17"/>
    <s v="%"/>
    <s v="Crude prevalence"/>
    <n v="21.1"/>
    <n v="39394"/>
    <s v="Overland"/>
    <n v="80210"/>
    <s v="Overland"/>
    <x v="2"/>
    <n v="4"/>
  </r>
  <r>
    <n v="2023"/>
    <n v="80210"/>
    <s v="Disability"/>
    <x v="17"/>
    <s v="%"/>
    <s v="Crude prevalence"/>
    <n v="21.1"/>
    <n v="39394"/>
    <s v="Cory - Merrill"/>
    <n v="80210"/>
    <s v="Cory - Merrill"/>
    <x v="2"/>
    <n v="2"/>
  </r>
  <r>
    <n v="2023"/>
    <n v="80210"/>
    <s v="Disability"/>
    <x v="17"/>
    <s v="%"/>
    <s v="Crude prevalence"/>
    <n v="21.1"/>
    <n v="39394"/>
    <s v="University"/>
    <n v="80210"/>
    <s v="University"/>
    <x v="2"/>
    <n v="2"/>
  </r>
  <r>
    <n v="2023"/>
    <n v="80210"/>
    <s v="Disability"/>
    <x v="17"/>
    <s v="%"/>
    <s v="Crude prevalence"/>
    <n v="21.1"/>
    <n v="39394"/>
    <s v="Platt Park"/>
    <n v="80210"/>
    <s v="Platt Park"/>
    <x v="2"/>
    <n v="2"/>
  </r>
  <r>
    <n v="2023"/>
    <n v="80210"/>
    <s v="Disability"/>
    <x v="17"/>
    <s v="%"/>
    <s v="Crude prevalence"/>
    <n v="21.1"/>
    <n v="39394"/>
    <s v="Wellshire"/>
    <n v="80210"/>
    <s v="Wellshire"/>
    <x v="0"/>
    <n v="2"/>
  </r>
  <r>
    <n v="2023"/>
    <n v="80210"/>
    <s v="Health Status"/>
    <x v="18"/>
    <s v="%"/>
    <s v="Crude prevalence"/>
    <n v="10"/>
    <n v="39394"/>
    <s v="Overland"/>
    <n v="80210"/>
    <s v="Overland"/>
    <x v="2"/>
    <n v="4"/>
  </r>
  <r>
    <n v="2023"/>
    <n v="80210"/>
    <s v="Health Status"/>
    <x v="18"/>
    <s v="%"/>
    <s v="Crude prevalence"/>
    <n v="10"/>
    <n v="39394"/>
    <s v="Cory - Merrill"/>
    <n v="80210"/>
    <s v="Cory - Merrill"/>
    <x v="2"/>
    <n v="2"/>
  </r>
  <r>
    <n v="2023"/>
    <n v="80210"/>
    <s v="Health Status"/>
    <x v="18"/>
    <s v="%"/>
    <s v="Crude prevalence"/>
    <n v="10"/>
    <n v="39394"/>
    <s v="University"/>
    <n v="80210"/>
    <s v="University"/>
    <x v="2"/>
    <n v="2"/>
  </r>
  <r>
    <n v="2023"/>
    <n v="80210"/>
    <s v="Health Status"/>
    <x v="18"/>
    <s v="%"/>
    <s v="Crude prevalence"/>
    <n v="10"/>
    <n v="39394"/>
    <s v="Platt Park"/>
    <n v="80210"/>
    <s v="Platt Park"/>
    <x v="2"/>
    <n v="2"/>
  </r>
  <r>
    <n v="2023"/>
    <n v="80210"/>
    <s v="Health Status"/>
    <x v="18"/>
    <s v="%"/>
    <s v="Crude prevalence"/>
    <n v="10"/>
    <n v="39394"/>
    <s v="Wellshire"/>
    <n v="80210"/>
    <s v="Wellshire"/>
    <x v="0"/>
    <n v="2"/>
  </r>
  <r>
    <n v="2023"/>
    <n v="80210"/>
    <s v="Disability"/>
    <x v="19"/>
    <s v="%"/>
    <s v="Crude prevalence"/>
    <n v="4.5"/>
    <n v="39394"/>
    <s v="Overland"/>
    <n v="80210"/>
    <s v="Overland"/>
    <x v="2"/>
    <n v="4"/>
  </r>
  <r>
    <n v="2023"/>
    <n v="80210"/>
    <s v="Disability"/>
    <x v="19"/>
    <s v="%"/>
    <s v="Crude prevalence"/>
    <n v="4.5"/>
    <n v="39394"/>
    <s v="Cory - Merrill"/>
    <n v="80210"/>
    <s v="Cory - Merrill"/>
    <x v="2"/>
    <n v="2"/>
  </r>
  <r>
    <n v="2023"/>
    <n v="80210"/>
    <s v="Disability"/>
    <x v="19"/>
    <s v="%"/>
    <s v="Crude prevalence"/>
    <n v="4.5"/>
    <n v="39394"/>
    <s v="University"/>
    <n v="80210"/>
    <s v="University"/>
    <x v="2"/>
    <n v="2"/>
  </r>
  <r>
    <n v="2023"/>
    <n v="80210"/>
    <s v="Disability"/>
    <x v="19"/>
    <s v="%"/>
    <s v="Crude prevalence"/>
    <n v="4.5"/>
    <n v="39394"/>
    <s v="Platt Park"/>
    <n v="80210"/>
    <s v="Platt Park"/>
    <x v="2"/>
    <n v="2"/>
  </r>
  <r>
    <n v="2023"/>
    <n v="80210"/>
    <s v="Disability"/>
    <x v="19"/>
    <s v="%"/>
    <s v="Crude prevalence"/>
    <n v="4.5"/>
    <n v="39394"/>
    <s v="Wellshire"/>
    <n v="80210"/>
    <s v="Wellshire"/>
    <x v="0"/>
    <n v="2"/>
  </r>
  <r>
    <n v="2023"/>
    <n v="80210"/>
    <s v="Health Outcomes"/>
    <x v="20"/>
    <s v="%"/>
    <s v="Crude prevalence"/>
    <n v="26.3"/>
    <n v="39394"/>
    <s v="Overland"/>
    <n v="80210"/>
    <s v="Overland"/>
    <x v="2"/>
    <n v="4"/>
  </r>
  <r>
    <n v="2023"/>
    <n v="80210"/>
    <s v="Health Outcomes"/>
    <x v="20"/>
    <s v="%"/>
    <s v="Crude prevalence"/>
    <n v="26.3"/>
    <n v="39394"/>
    <s v="Cory - Merrill"/>
    <n v="80210"/>
    <s v="Cory - Merrill"/>
    <x v="2"/>
    <n v="2"/>
  </r>
  <r>
    <n v="2023"/>
    <n v="80210"/>
    <s v="Health Outcomes"/>
    <x v="20"/>
    <s v="%"/>
    <s v="Crude prevalence"/>
    <n v="26.3"/>
    <n v="39394"/>
    <s v="University"/>
    <n v="80210"/>
    <s v="University"/>
    <x v="2"/>
    <n v="2"/>
  </r>
  <r>
    <n v="2023"/>
    <n v="80210"/>
    <s v="Health Outcomes"/>
    <x v="20"/>
    <s v="%"/>
    <s v="Crude prevalence"/>
    <n v="26.3"/>
    <n v="39394"/>
    <s v="Platt Park"/>
    <n v="80210"/>
    <s v="Platt Park"/>
    <x v="2"/>
    <n v="2"/>
  </r>
  <r>
    <n v="2023"/>
    <n v="80210"/>
    <s v="Health Outcomes"/>
    <x v="20"/>
    <s v="%"/>
    <s v="Crude prevalence"/>
    <n v="26.3"/>
    <n v="39394"/>
    <s v="Wellshire"/>
    <n v="80210"/>
    <s v="Wellshire"/>
    <x v="0"/>
    <n v="2"/>
  </r>
  <r>
    <n v="2023"/>
    <n v="80210"/>
    <s v="Disability"/>
    <x v="21"/>
    <s v="%"/>
    <s v="Crude prevalence"/>
    <n v="5.2"/>
    <n v="39394"/>
    <s v="Overland"/>
    <n v="80210"/>
    <s v="Overland"/>
    <x v="2"/>
    <n v="4"/>
  </r>
  <r>
    <n v="2023"/>
    <n v="80210"/>
    <s v="Disability"/>
    <x v="21"/>
    <s v="%"/>
    <s v="Crude prevalence"/>
    <n v="5.2"/>
    <n v="39394"/>
    <s v="Cory - Merrill"/>
    <n v="80210"/>
    <s v="Cory - Merrill"/>
    <x v="2"/>
    <n v="2"/>
  </r>
  <r>
    <n v="2023"/>
    <n v="80210"/>
    <s v="Disability"/>
    <x v="21"/>
    <s v="%"/>
    <s v="Crude prevalence"/>
    <n v="5.2"/>
    <n v="39394"/>
    <s v="University"/>
    <n v="80210"/>
    <s v="University"/>
    <x v="2"/>
    <n v="2"/>
  </r>
  <r>
    <n v="2023"/>
    <n v="80210"/>
    <s v="Disability"/>
    <x v="21"/>
    <s v="%"/>
    <s v="Crude prevalence"/>
    <n v="5.2"/>
    <n v="39394"/>
    <s v="Platt Park"/>
    <n v="80210"/>
    <s v="Platt Park"/>
    <x v="2"/>
    <n v="2"/>
  </r>
  <r>
    <n v="2023"/>
    <n v="80210"/>
    <s v="Disability"/>
    <x v="21"/>
    <s v="%"/>
    <s v="Crude prevalence"/>
    <n v="5.2"/>
    <n v="39394"/>
    <s v="Wellshire"/>
    <n v="80210"/>
    <s v="Wellshire"/>
    <x v="0"/>
    <n v="2"/>
  </r>
  <r>
    <n v="2023"/>
    <n v="80210"/>
    <s v="Health Risk Behaviors"/>
    <x v="22"/>
    <s v="%"/>
    <s v="Crude prevalence"/>
    <n v="12"/>
    <n v="39394"/>
    <s v="Overland"/>
    <n v="80210"/>
    <s v="Overland"/>
    <x v="2"/>
    <n v="4"/>
  </r>
  <r>
    <n v="2023"/>
    <n v="80210"/>
    <s v="Health Risk Behaviors"/>
    <x v="22"/>
    <s v="%"/>
    <s v="Crude prevalence"/>
    <n v="12"/>
    <n v="39394"/>
    <s v="Cory - Merrill"/>
    <n v="80210"/>
    <s v="Cory - Merrill"/>
    <x v="2"/>
    <n v="2"/>
  </r>
  <r>
    <n v="2023"/>
    <n v="80210"/>
    <s v="Health Risk Behaviors"/>
    <x v="22"/>
    <s v="%"/>
    <s v="Crude prevalence"/>
    <n v="12"/>
    <n v="39394"/>
    <s v="University"/>
    <n v="80210"/>
    <s v="University"/>
    <x v="2"/>
    <n v="2"/>
  </r>
  <r>
    <n v="2023"/>
    <n v="80210"/>
    <s v="Health Risk Behaviors"/>
    <x v="22"/>
    <s v="%"/>
    <s v="Crude prevalence"/>
    <n v="12"/>
    <n v="39394"/>
    <s v="Platt Park"/>
    <n v="80210"/>
    <s v="Platt Park"/>
    <x v="2"/>
    <n v="2"/>
  </r>
  <r>
    <n v="2023"/>
    <n v="80210"/>
    <s v="Health Risk Behaviors"/>
    <x v="22"/>
    <s v="%"/>
    <s v="Crude prevalence"/>
    <n v="12"/>
    <n v="39394"/>
    <s v="Wellshire"/>
    <n v="80210"/>
    <s v="Wellshire"/>
    <x v="0"/>
    <n v="2"/>
  </r>
  <r>
    <n v="2022"/>
    <n v="80210"/>
    <s v="Prevention"/>
    <x v="23"/>
    <s v="%"/>
    <s v="Crude prevalence"/>
    <n v="74.5"/>
    <n v="39394"/>
    <s v="Overland"/>
    <n v="80210"/>
    <s v="Overland"/>
    <x v="2"/>
    <n v="4"/>
  </r>
  <r>
    <n v="2022"/>
    <n v="80210"/>
    <s v="Prevention"/>
    <x v="23"/>
    <s v="%"/>
    <s v="Crude prevalence"/>
    <n v="74.5"/>
    <n v="39394"/>
    <s v="Cory - Merrill"/>
    <n v="80210"/>
    <s v="Cory - Merrill"/>
    <x v="2"/>
    <n v="2"/>
  </r>
  <r>
    <n v="2022"/>
    <n v="80210"/>
    <s v="Prevention"/>
    <x v="23"/>
    <s v="%"/>
    <s v="Crude prevalence"/>
    <n v="74.5"/>
    <n v="39394"/>
    <s v="University"/>
    <n v="80210"/>
    <s v="University"/>
    <x v="2"/>
    <n v="2"/>
  </r>
  <r>
    <n v="2022"/>
    <n v="80210"/>
    <s v="Prevention"/>
    <x v="23"/>
    <s v="%"/>
    <s v="Crude prevalence"/>
    <n v="74.5"/>
    <n v="39394"/>
    <s v="Platt Park"/>
    <n v="80210"/>
    <s v="Platt Park"/>
    <x v="2"/>
    <n v="2"/>
  </r>
  <r>
    <n v="2022"/>
    <n v="80210"/>
    <s v="Prevention"/>
    <x v="23"/>
    <s v="%"/>
    <s v="Crude prevalence"/>
    <n v="74.5"/>
    <n v="39394"/>
    <s v="Wellshire"/>
    <n v="80210"/>
    <s v="Wellshire"/>
    <x v="0"/>
    <n v="2"/>
  </r>
  <r>
    <n v="2023"/>
    <n v="80210"/>
    <s v="Health Status"/>
    <x v="24"/>
    <s v="%"/>
    <s v="Crude prevalence"/>
    <n v="15"/>
    <n v="39394"/>
    <s v="Overland"/>
    <n v="80210"/>
    <s v="Overland"/>
    <x v="2"/>
    <n v="4"/>
  </r>
  <r>
    <n v="2023"/>
    <n v="80210"/>
    <s v="Health Status"/>
    <x v="24"/>
    <s v="%"/>
    <s v="Crude prevalence"/>
    <n v="15"/>
    <n v="39394"/>
    <s v="Cory - Merrill"/>
    <n v="80210"/>
    <s v="Cory - Merrill"/>
    <x v="2"/>
    <n v="2"/>
  </r>
  <r>
    <n v="2023"/>
    <n v="80210"/>
    <s v="Health Status"/>
    <x v="24"/>
    <s v="%"/>
    <s v="Crude prevalence"/>
    <n v="15"/>
    <n v="39394"/>
    <s v="University"/>
    <n v="80210"/>
    <s v="University"/>
    <x v="2"/>
    <n v="2"/>
  </r>
  <r>
    <n v="2023"/>
    <n v="80210"/>
    <s v="Health Status"/>
    <x v="24"/>
    <s v="%"/>
    <s v="Crude prevalence"/>
    <n v="15"/>
    <n v="39394"/>
    <s v="Platt Park"/>
    <n v="80210"/>
    <s v="Platt Park"/>
    <x v="2"/>
    <n v="2"/>
  </r>
  <r>
    <n v="2023"/>
    <n v="80210"/>
    <s v="Health Status"/>
    <x v="24"/>
    <s v="%"/>
    <s v="Crude prevalence"/>
    <n v="15"/>
    <n v="39394"/>
    <s v="Wellshire"/>
    <n v="80210"/>
    <s v="Wellshire"/>
    <x v="0"/>
    <n v="2"/>
  </r>
  <r>
    <n v="2023"/>
    <n v="80210"/>
    <s v="Disability"/>
    <x v="25"/>
    <s v="%"/>
    <s v="Crude prevalence"/>
    <n v="6.3"/>
    <n v="39394"/>
    <s v="Overland"/>
    <n v="80210"/>
    <s v="Overland"/>
    <x v="2"/>
    <n v="4"/>
  </r>
  <r>
    <n v="2023"/>
    <n v="80210"/>
    <s v="Disability"/>
    <x v="25"/>
    <s v="%"/>
    <s v="Crude prevalence"/>
    <n v="6.3"/>
    <n v="39394"/>
    <s v="Cory - Merrill"/>
    <n v="80210"/>
    <s v="Cory - Merrill"/>
    <x v="2"/>
    <n v="2"/>
  </r>
  <r>
    <n v="2023"/>
    <n v="80210"/>
    <s v="Disability"/>
    <x v="25"/>
    <s v="%"/>
    <s v="Crude prevalence"/>
    <n v="6.3"/>
    <n v="39394"/>
    <s v="University"/>
    <n v="80210"/>
    <s v="University"/>
    <x v="2"/>
    <n v="2"/>
  </r>
  <r>
    <n v="2023"/>
    <n v="80210"/>
    <s v="Disability"/>
    <x v="25"/>
    <s v="%"/>
    <s v="Crude prevalence"/>
    <n v="6.3"/>
    <n v="39394"/>
    <s v="Platt Park"/>
    <n v="80210"/>
    <s v="Platt Park"/>
    <x v="2"/>
    <n v="2"/>
  </r>
  <r>
    <n v="2023"/>
    <n v="80210"/>
    <s v="Disability"/>
    <x v="25"/>
    <s v="%"/>
    <s v="Crude prevalence"/>
    <n v="6.3"/>
    <n v="39394"/>
    <s v="Wellshire"/>
    <n v="80210"/>
    <s v="Wellshire"/>
    <x v="0"/>
    <n v="2"/>
  </r>
  <r>
    <n v="2023"/>
    <n v="80210"/>
    <s v="Health Outcomes"/>
    <x v="26"/>
    <s v="%"/>
    <s v="Crude prevalence"/>
    <n v="18.2"/>
    <n v="39394"/>
    <s v="Overland"/>
    <n v="80210"/>
    <s v="Overland"/>
    <x v="2"/>
    <n v="4"/>
  </r>
  <r>
    <n v="2023"/>
    <n v="80210"/>
    <s v="Health Outcomes"/>
    <x v="26"/>
    <s v="%"/>
    <s v="Crude prevalence"/>
    <n v="18.2"/>
    <n v="39394"/>
    <s v="Cory - Merrill"/>
    <n v="80210"/>
    <s v="Cory - Merrill"/>
    <x v="2"/>
    <n v="2"/>
  </r>
  <r>
    <n v="2023"/>
    <n v="80210"/>
    <s v="Health Outcomes"/>
    <x v="26"/>
    <s v="%"/>
    <s v="Crude prevalence"/>
    <n v="18.2"/>
    <n v="39394"/>
    <s v="University"/>
    <n v="80210"/>
    <s v="University"/>
    <x v="2"/>
    <n v="2"/>
  </r>
  <r>
    <n v="2023"/>
    <n v="80210"/>
    <s v="Health Outcomes"/>
    <x v="26"/>
    <s v="%"/>
    <s v="Crude prevalence"/>
    <n v="18.2"/>
    <n v="39394"/>
    <s v="Platt Park"/>
    <n v="80210"/>
    <s v="Platt Park"/>
    <x v="2"/>
    <n v="2"/>
  </r>
  <r>
    <n v="2023"/>
    <n v="80210"/>
    <s v="Health Outcomes"/>
    <x v="26"/>
    <s v="%"/>
    <s v="Crude prevalence"/>
    <n v="18.2"/>
    <n v="39394"/>
    <s v="Wellshire"/>
    <n v="80210"/>
    <s v="Wellshire"/>
    <x v="0"/>
    <n v="2"/>
  </r>
  <r>
    <n v="2023"/>
    <n v="80210"/>
    <s v="Health Status"/>
    <x v="27"/>
    <s v="%"/>
    <s v="Crude prevalence"/>
    <n v="8.8000000000000007"/>
    <n v="39394"/>
    <s v="Overland"/>
    <n v="80210"/>
    <s v="Overland"/>
    <x v="2"/>
    <n v="4"/>
  </r>
  <r>
    <n v="2023"/>
    <n v="80210"/>
    <s v="Health Status"/>
    <x v="27"/>
    <s v="%"/>
    <s v="Crude prevalence"/>
    <n v="8.8000000000000007"/>
    <n v="39394"/>
    <s v="Cory - Merrill"/>
    <n v="80210"/>
    <s v="Cory - Merrill"/>
    <x v="2"/>
    <n v="2"/>
  </r>
  <r>
    <n v="2023"/>
    <n v="80210"/>
    <s v="Health Status"/>
    <x v="27"/>
    <s v="%"/>
    <s v="Crude prevalence"/>
    <n v="8.8000000000000007"/>
    <n v="39394"/>
    <s v="University"/>
    <n v="80210"/>
    <s v="University"/>
    <x v="2"/>
    <n v="2"/>
  </r>
  <r>
    <n v="2023"/>
    <n v="80210"/>
    <s v="Health Status"/>
    <x v="27"/>
    <s v="%"/>
    <s v="Crude prevalence"/>
    <n v="8.8000000000000007"/>
    <n v="39394"/>
    <s v="Platt Park"/>
    <n v="80210"/>
    <s v="Platt Park"/>
    <x v="2"/>
    <n v="2"/>
  </r>
  <r>
    <n v="2023"/>
    <n v="80210"/>
    <s v="Health Status"/>
    <x v="27"/>
    <s v="%"/>
    <s v="Crude prevalence"/>
    <n v="8.8000000000000007"/>
    <n v="39394"/>
    <s v="Wellshire"/>
    <n v="80210"/>
    <s v="Wellshire"/>
    <x v="0"/>
    <n v="2"/>
  </r>
  <r>
    <n v="2023"/>
    <n v="80210"/>
    <s v="Disability"/>
    <x v="28"/>
    <s v="%"/>
    <s v="Crude prevalence"/>
    <n v="1.8"/>
    <n v="39394"/>
    <s v="Overland"/>
    <n v="80210"/>
    <s v="Overland"/>
    <x v="2"/>
    <n v="4"/>
  </r>
  <r>
    <n v="2023"/>
    <n v="80210"/>
    <s v="Disability"/>
    <x v="28"/>
    <s v="%"/>
    <s v="Crude prevalence"/>
    <n v="1.8"/>
    <n v="39394"/>
    <s v="Cory - Merrill"/>
    <n v="80210"/>
    <s v="Cory - Merrill"/>
    <x v="2"/>
    <n v="2"/>
  </r>
  <r>
    <n v="2023"/>
    <n v="80210"/>
    <s v="Disability"/>
    <x v="28"/>
    <s v="%"/>
    <s v="Crude prevalence"/>
    <n v="1.8"/>
    <n v="39394"/>
    <s v="University"/>
    <n v="80210"/>
    <s v="University"/>
    <x v="2"/>
    <n v="2"/>
  </r>
  <r>
    <n v="2023"/>
    <n v="80210"/>
    <s v="Disability"/>
    <x v="28"/>
    <s v="%"/>
    <s v="Crude prevalence"/>
    <n v="1.8"/>
    <n v="39394"/>
    <s v="Platt Park"/>
    <n v="80210"/>
    <s v="Platt Park"/>
    <x v="2"/>
    <n v="2"/>
  </r>
  <r>
    <n v="2023"/>
    <n v="80210"/>
    <s v="Disability"/>
    <x v="28"/>
    <s v="%"/>
    <s v="Crude prevalence"/>
    <n v="1.8"/>
    <n v="39394"/>
    <s v="Wellshire"/>
    <n v="80210"/>
    <s v="Wellshire"/>
    <x v="0"/>
    <n v="2"/>
  </r>
  <r>
    <n v="2022"/>
    <n v="80210"/>
    <s v="Health Risk Behaviors"/>
    <x v="29"/>
    <s v="%"/>
    <s v="Crude prevalence"/>
    <n v="25.8"/>
    <n v="39394"/>
    <s v="Overland"/>
    <n v="80210"/>
    <s v="Overland"/>
    <x v="2"/>
    <n v="4"/>
  </r>
  <r>
    <n v="2022"/>
    <n v="80210"/>
    <s v="Health Risk Behaviors"/>
    <x v="29"/>
    <s v="%"/>
    <s v="Crude prevalence"/>
    <n v="25.8"/>
    <n v="39394"/>
    <s v="Cory - Merrill"/>
    <n v="80210"/>
    <s v="Cory - Merrill"/>
    <x v="2"/>
    <n v="2"/>
  </r>
  <r>
    <n v="2022"/>
    <n v="80210"/>
    <s v="Health Risk Behaviors"/>
    <x v="29"/>
    <s v="%"/>
    <s v="Crude prevalence"/>
    <n v="25.8"/>
    <n v="39394"/>
    <s v="University"/>
    <n v="80210"/>
    <s v="University"/>
    <x v="2"/>
    <n v="2"/>
  </r>
  <r>
    <n v="2022"/>
    <n v="80210"/>
    <s v="Health Risk Behaviors"/>
    <x v="29"/>
    <s v="%"/>
    <s v="Crude prevalence"/>
    <n v="25.8"/>
    <n v="39394"/>
    <s v="Platt Park"/>
    <n v="80210"/>
    <s v="Platt Park"/>
    <x v="2"/>
    <n v="2"/>
  </r>
  <r>
    <n v="2022"/>
    <n v="80210"/>
    <s v="Health Risk Behaviors"/>
    <x v="29"/>
    <s v="%"/>
    <s v="Crude prevalence"/>
    <n v="25.8"/>
    <n v="39394"/>
    <s v="Wellshire"/>
    <n v="80210"/>
    <s v="Wellshire"/>
    <x v="0"/>
    <n v="2"/>
  </r>
  <r>
    <n v="2023"/>
    <n v="80210"/>
    <s v="Health Outcomes"/>
    <x v="30"/>
    <s v="%"/>
    <s v="Crude prevalence"/>
    <n v="1.8"/>
    <n v="39394"/>
    <s v="Overland"/>
    <n v="80210"/>
    <s v="Overland"/>
    <x v="2"/>
    <n v="4"/>
  </r>
  <r>
    <n v="2023"/>
    <n v="80210"/>
    <s v="Health Outcomes"/>
    <x v="30"/>
    <s v="%"/>
    <s v="Crude prevalence"/>
    <n v="1.8"/>
    <n v="39394"/>
    <s v="Cory - Merrill"/>
    <n v="80210"/>
    <s v="Cory - Merrill"/>
    <x v="2"/>
    <n v="2"/>
  </r>
  <r>
    <n v="2023"/>
    <n v="80210"/>
    <s v="Health Outcomes"/>
    <x v="30"/>
    <s v="%"/>
    <s v="Crude prevalence"/>
    <n v="1.8"/>
    <n v="39394"/>
    <s v="University"/>
    <n v="80210"/>
    <s v="University"/>
    <x v="2"/>
    <n v="2"/>
  </r>
  <r>
    <n v="2023"/>
    <n v="80210"/>
    <s v="Health Outcomes"/>
    <x v="30"/>
    <s v="%"/>
    <s v="Crude prevalence"/>
    <n v="1.8"/>
    <n v="39394"/>
    <s v="Platt Park"/>
    <n v="80210"/>
    <s v="Platt Park"/>
    <x v="2"/>
    <n v="2"/>
  </r>
  <r>
    <n v="2023"/>
    <n v="80210"/>
    <s v="Health Outcomes"/>
    <x v="30"/>
    <s v="%"/>
    <s v="Crude prevalence"/>
    <n v="1.8"/>
    <n v="39394"/>
    <s v="Wellshire"/>
    <n v="80210"/>
    <s v="Wellshire"/>
    <x v="0"/>
    <n v="2"/>
  </r>
  <r>
    <n v="2022"/>
    <n v="80210"/>
    <s v="Health Outcomes"/>
    <x v="31"/>
    <s v="%"/>
    <s v="Crude prevalence"/>
    <n v="6"/>
    <n v="39394"/>
    <s v="Overland"/>
    <n v="80210"/>
    <s v="Overland"/>
    <x v="2"/>
    <n v="4"/>
  </r>
  <r>
    <n v="2022"/>
    <n v="80210"/>
    <s v="Health Outcomes"/>
    <x v="31"/>
    <s v="%"/>
    <s v="Crude prevalence"/>
    <n v="6"/>
    <n v="39394"/>
    <s v="Cory - Merrill"/>
    <n v="80210"/>
    <s v="Cory - Merrill"/>
    <x v="2"/>
    <n v="2"/>
  </r>
  <r>
    <n v="2022"/>
    <n v="80210"/>
    <s v="Health Outcomes"/>
    <x v="31"/>
    <s v="%"/>
    <s v="Crude prevalence"/>
    <n v="6"/>
    <n v="39394"/>
    <s v="University"/>
    <n v="80210"/>
    <s v="University"/>
    <x v="2"/>
    <n v="2"/>
  </r>
  <r>
    <n v="2022"/>
    <n v="80210"/>
    <s v="Health Outcomes"/>
    <x v="31"/>
    <s v="%"/>
    <s v="Crude prevalence"/>
    <n v="6"/>
    <n v="39394"/>
    <s v="Platt Park"/>
    <n v="80210"/>
    <s v="Platt Park"/>
    <x v="2"/>
    <n v="2"/>
  </r>
  <r>
    <n v="2022"/>
    <n v="80210"/>
    <s v="Health Outcomes"/>
    <x v="31"/>
    <s v="%"/>
    <s v="Crude prevalence"/>
    <n v="6"/>
    <n v="39394"/>
    <s v="Wellshire"/>
    <n v="80210"/>
    <s v="Wellshire"/>
    <x v="0"/>
    <n v="2"/>
  </r>
  <r>
    <n v="2023"/>
    <n v="80210"/>
    <s v="Disability"/>
    <x v="32"/>
    <s v="%"/>
    <s v="Crude prevalence"/>
    <n v="2.8"/>
    <n v="39394"/>
    <s v="Overland"/>
    <n v="80210"/>
    <s v="Overland"/>
    <x v="2"/>
    <n v="4"/>
  </r>
  <r>
    <n v="2023"/>
    <n v="80210"/>
    <s v="Disability"/>
    <x v="32"/>
    <s v="%"/>
    <s v="Crude prevalence"/>
    <n v="2.8"/>
    <n v="39394"/>
    <s v="Cory - Merrill"/>
    <n v="80210"/>
    <s v="Cory - Merrill"/>
    <x v="2"/>
    <n v="2"/>
  </r>
  <r>
    <n v="2023"/>
    <n v="80210"/>
    <s v="Disability"/>
    <x v="32"/>
    <s v="%"/>
    <s v="Crude prevalence"/>
    <n v="2.8"/>
    <n v="39394"/>
    <s v="University"/>
    <n v="80210"/>
    <s v="University"/>
    <x v="2"/>
    <n v="2"/>
  </r>
  <r>
    <n v="2023"/>
    <n v="80210"/>
    <s v="Disability"/>
    <x v="32"/>
    <s v="%"/>
    <s v="Crude prevalence"/>
    <n v="2.8"/>
    <n v="39394"/>
    <s v="Platt Park"/>
    <n v="80210"/>
    <s v="Platt Park"/>
    <x v="2"/>
    <n v="2"/>
  </r>
  <r>
    <n v="2023"/>
    <n v="80210"/>
    <s v="Disability"/>
    <x v="32"/>
    <s v="%"/>
    <s v="Crude prevalence"/>
    <n v="2.8"/>
    <n v="39394"/>
    <s v="Wellshire"/>
    <n v="80210"/>
    <s v="Wellshire"/>
    <x v="0"/>
    <n v="2"/>
  </r>
  <r>
    <n v="2023"/>
    <n v="80211"/>
    <s v="Prevention"/>
    <x v="0"/>
    <s v="%"/>
    <s v="Crude prevalence"/>
    <n v="9.5"/>
    <n v="37940"/>
    <s v="Jefferson Park"/>
    <n v="80211"/>
    <s v="Jefferson Park"/>
    <x v="3"/>
    <n v="4"/>
  </r>
  <r>
    <n v="2023"/>
    <n v="80211"/>
    <s v="Prevention"/>
    <x v="0"/>
    <s v="%"/>
    <s v="Crude prevalence"/>
    <n v="9.5"/>
    <n v="37940"/>
    <s v="Sunnyside"/>
    <n v="80211"/>
    <s v="Sunnyside"/>
    <x v="3"/>
    <n v="1"/>
  </r>
  <r>
    <n v="2023"/>
    <n v="80211"/>
    <s v="Prevention"/>
    <x v="0"/>
    <s v="%"/>
    <s v="Crude prevalence"/>
    <n v="9.5"/>
    <n v="37940"/>
    <s v="Chaffee Park"/>
    <n v="80211"/>
    <s v="Chaffee Park"/>
    <x v="2"/>
    <n v="1"/>
  </r>
  <r>
    <n v="2023"/>
    <n v="80211"/>
    <s v="Health Outcomes"/>
    <x v="1"/>
    <s v="%"/>
    <s v="Crude prevalence"/>
    <n v="14.2"/>
    <n v="37940"/>
    <s v="Jefferson Park"/>
    <n v="80211"/>
    <s v="Jefferson Park"/>
    <x v="3"/>
    <n v="2"/>
  </r>
  <r>
    <n v="2023"/>
    <n v="80211"/>
    <s v="Health Outcomes"/>
    <x v="1"/>
    <s v="%"/>
    <s v="Crude prevalence"/>
    <n v="14.2"/>
    <n v="37940"/>
    <s v="Sunnyside"/>
    <n v="80211"/>
    <s v="Sunnyside"/>
    <x v="3"/>
    <n v="1"/>
  </r>
  <r>
    <n v="2023"/>
    <n v="80211"/>
    <s v="Health Outcomes"/>
    <x v="1"/>
    <s v="%"/>
    <s v="Crude prevalence"/>
    <n v="14.2"/>
    <n v="37940"/>
    <s v="Chaffee Park"/>
    <n v="80211"/>
    <s v="Chaffee Park"/>
    <x v="2"/>
    <n v="1"/>
  </r>
  <r>
    <n v="2023"/>
    <n v="80211"/>
    <s v="Health Risk Behaviors"/>
    <x v="2"/>
    <s v="%"/>
    <s v="Crude prevalence"/>
    <n v="29.5"/>
    <n v="37940"/>
    <s v="Jefferson Park"/>
    <n v="80211"/>
    <s v="Jefferson Park"/>
    <x v="3"/>
    <n v="2"/>
  </r>
  <r>
    <n v="2023"/>
    <n v="80211"/>
    <s v="Health Risk Behaviors"/>
    <x v="2"/>
    <s v="%"/>
    <s v="Crude prevalence"/>
    <n v="29.5"/>
    <n v="37940"/>
    <s v="Sunnyside"/>
    <n v="80211"/>
    <s v="Sunnyside"/>
    <x v="3"/>
    <n v="1"/>
  </r>
  <r>
    <n v="2023"/>
    <n v="80211"/>
    <s v="Health Risk Behaviors"/>
    <x v="2"/>
    <s v="%"/>
    <s v="Crude prevalence"/>
    <n v="29.5"/>
    <n v="37940"/>
    <s v="Chaffee Park"/>
    <n v="80211"/>
    <s v="Chaffee Park"/>
    <x v="2"/>
    <n v="1"/>
  </r>
  <r>
    <n v="2023"/>
    <n v="80211"/>
    <s v="Health Outcomes"/>
    <x v="3"/>
    <s v="%"/>
    <s v="Crude prevalence"/>
    <n v="16.600000000000001"/>
    <n v="37940"/>
    <s v="Jefferson Park"/>
    <n v="80211"/>
    <s v="Jefferson Park"/>
    <x v="3"/>
    <n v="2"/>
  </r>
  <r>
    <n v="2023"/>
    <n v="80211"/>
    <s v="Health Outcomes"/>
    <x v="3"/>
    <s v="%"/>
    <s v="Crude prevalence"/>
    <n v="16.600000000000001"/>
    <n v="37940"/>
    <s v="Sunnyside"/>
    <n v="80211"/>
    <s v="Sunnyside"/>
    <x v="3"/>
    <n v="1"/>
  </r>
  <r>
    <n v="2023"/>
    <n v="80211"/>
    <s v="Health Outcomes"/>
    <x v="3"/>
    <s v="%"/>
    <s v="Crude prevalence"/>
    <n v="16.600000000000001"/>
    <n v="37940"/>
    <s v="Chaffee Park"/>
    <n v="80211"/>
    <s v="Chaffee Park"/>
    <x v="2"/>
    <n v="1"/>
  </r>
  <r>
    <n v="2023"/>
    <n v="80211"/>
    <s v="Prevention"/>
    <x v="4"/>
    <s v="%"/>
    <s v="Crude prevalence"/>
    <n v="58.7"/>
    <n v="37940"/>
    <s v="Jefferson Park"/>
    <n v="80211"/>
    <s v="Jefferson Park"/>
    <x v="3"/>
    <n v="2"/>
  </r>
  <r>
    <n v="2023"/>
    <n v="80211"/>
    <s v="Prevention"/>
    <x v="4"/>
    <s v="%"/>
    <s v="Crude prevalence"/>
    <n v="58.7"/>
    <n v="37940"/>
    <s v="Sunnyside"/>
    <n v="80211"/>
    <s v="Sunnyside"/>
    <x v="3"/>
    <n v="1"/>
  </r>
  <r>
    <n v="2023"/>
    <n v="80211"/>
    <s v="Prevention"/>
    <x v="4"/>
    <s v="%"/>
    <s v="Crude prevalence"/>
    <n v="58.7"/>
    <n v="37940"/>
    <s v="Chaffee Park"/>
    <n v="80211"/>
    <s v="Chaffee Park"/>
    <x v="2"/>
    <n v="1"/>
  </r>
  <r>
    <n v="2023"/>
    <n v="80211"/>
    <s v="Health Outcomes"/>
    <x v="5"/>
    <s v="%"/>
    <s v="Crude prevalence"/>
    <n v="4.9000000000000004"/>
    <n v="37940"/>
    <s v="Jefferson Park"/>
    <n v="80211"/>
    <s v="Jefferson Park"/>
    <x v="3"/>
    <n v="2"/>
  </r>
  <r>
    <n v="2023"/>
    <n v="80211"/>
    <s v="Health Outcomes"/>
    <x v="5"/>
    <s v="%"/>
    <s v="Crude prevalence"/>
    <n v="4.9000000000000004"/>
    <n v="37940"/>
    <s v="Sunnyside"/>
    <n v="80211"/>
    <s v="Sunnyside"/>
    <x v="3"/>
    <n v="1"/>
  </r>
  <r>
    <n v="2023"/>
    <n v="80211"/>
    <s v="Health Outcomes"/>
    <x v="5"/>
    <s v="%"/>
    <s v="Crude prevalence"/>
    <n v="4.9000000000000004"/>
    <n v="37940"/>
    <s v="Chaffee Park"/>
    <n v="80211"/>
    <s v="Chaffee Park"/>
    <x v="2"/>
    <n v="1"/>
  </r>
  <r>
    <n v="2023"/>
    <n v="80211"/>
    <s v="Health Outcomes"/>
    <x v="6"/>
    <s v="%"/>
    <s v="Crude prevalence"/>
    <n v="10.1"/>
    <n v="37940"/>
    <s v="Jefferson Park"/>
    <n v="80211"/>
    <s v="Jefferson Park"/>
    <x v="3"/>
    <n v="2"/>
  </r>
  <r>
    <n v="2023"/>
    <n v="80211"/>
    <s v="Health Outcomes"/>
    <x v="6"/>
    <s v="%"/>
    <s v="Crude prevalence"/>
    <n v="10.1"/>
    <n v="37940"/>
    <s v="Sunnyside"/>
    <n v="80211"/>
    <s v="Sunnyside"/>
    <x v="3"/>
    <n v="1"/>
  </r>
  <r>
    <n v="2023"/>
    <n v="80211"/>
    <s v="Health Outcomes"/>
    <x v="6"/>
    <s v="%"/>
    <s v="Crude prevalence"/>
    <n v="10.1"/>
    <n v="37940"/>
    <s v="Chaffee Park"/>
    <n v="80211"/>
    <s v="Chaffee Park"/>
    <x v="2"/>
    <n v="1"/>
  </r>
  <r>
    <n v="2023"/>
    <n v="80211"/>
    <s v="Health Outcomes"/>
    <x v="7"/>
    <s v="%"/>
    <s v="Crude prevalence"/>
    <n v="2.9"/>
    <n v="37940"/>
    <s v="Jefferson Park"/>
    <n v="80211"/>
    <s v="Jefferson Park"/>
    <x v="3"/>
    <n v="2"/>
  </r>
  <r>
    <n v="2023"/>
    <n v="80211"/>
    <s v="Health Outcomes"/>
    <x v="7"/>
    <s v="%"/>
    <s v="Crude prevalence"/>
    <n v="2.9"/>
    <n v="37940"/>
    <s v="Sunnyside"/>
    <n v="80211"/>
    <s v="Sunnyside"/>
    <x v="3"/>
    <n v="1"/>
  </r>
  <r>
    <n v="2023"/>
    <n v="80211"/>
    <s v="Health Outcomes"/>
    <x v="7"/>
    <s v="%"/>
    <s v="Crude prevalence"/>
    <n v="2.9"/>
    <n v="37940"/>
    <s v="Chaffee Park"/>
    <n v="80211"/>
    <s v="Chaffee Park"/>
    <x v="2"/>
    <n v="1"/>
  </r>
  <r>
    <n v="2023"/>
    <n v="80211"/>
    <s v="Prevention"/>
    <x v="8"/>
    <s v="%"/>
    <s v="Crude prevalence"/>
    <n v="67.2"/>
    <n v="37940"/>
    <s v="Jefferson Park"/>
    <n v="80211"/>
    <s v="Jefferson Park"/>
    <x v="3"/>
    <n v="2"/>
  </r>
  <r>
    <n v="2023"/>
    <n v="80211"/>
    <s v="Prevention"/>
    <x v="8"/>
    <s v="%"/>
    <s v="Crude prevalence"/>
    <n v="67.2"/>
    <n v="37940"/>
    <s v="Sunnyside"/>
    <n v="80211"/>
    <s v="Sunnyside"/>
    <x v="3"/>
    <n v="1"/>
  </r>
  <r>
    <n v="2023"/>
    <n v="80211"/>
    <s v="Prevention"/>
    <x v="8"/>
    <s v="%"/>
    <s v="Crude prevalence"/>
    <n v="67.2"/>
    <n v="37940"/>
    <s v="Chaffee Park"/>
    <n v="80211"/>
    <s v="Chaffee Park"/>
    <x v="2"/>
    <n v="1"/>
  </r>
  <r>
    <n v="2023"/>
    <n v="80211"/>
    <s v="Prevention"/>
    <x v="9"/>
    <s v="%"/>
    <s v="Crude prevalence"/>
    <n v="83.9"/>
    <n v="37940"/>
    <s v="Jefferson Park"/>
    <n v="80211"/>
    <s v="Jefferson Park"/>
    <x v="3"/>
    <n v="2"/>
  </r>
  <r>
    <n v="2023"/>
    <n v="80211"/>
    <s v="Prevention"/>
    <x v="9"/>
    <s v="%"/>
    <s v="Crude prevalence"/>
    <n v="83.9"/>
    <n v="37940"/>
    <s v="Sunnyside"/>
    <n v="80211"/>
    <s v="Sunnyside"/>
    <x v="3"/>
    <n v="1"/>
  </r>
  <r>
    <n v="2023"/>
    <n v="80211"/>
    <s v="Prevention"/>
    <x v="9"/>
    <s v="%"/>
    <s v="Crude prevalence"/>
    <n v="83.9"/>
    <n v="37940"/>
    <s v="Chaffee Park"/>
    <n v="80211"/>
    <s v="Chaffee Park"/>
    <x v="2"/>
    <n v="1"/>
  </r>
  <r>
    <n v="2023"/>
    <n v="80211"/>
    <s v="Disability"/>
    <x v="10"/>
    <s v="%"/>
    <s v="Crude prevalence"/>
    <n v="12"/>
    <n v="37940"/>
    <s v="Jefferson Park"/>
    <n v="80211"/>
    <s v="Jefferson Park"/>
    <x v="3"/>
    <n v="2"/>
  </r>
  <r>
    <n v="2023"/>
    <n v="80211"/>
    <s v="Disability"/>
    <x v="10"/>
    <s v="%"/>
    <s v="Crude prevalence"/>
    <n v="12"/>
    <n v="37940"/>
    <s v="Sunnyside"/>
    <n v="80211"/>
    <s v="Sunnyside"/>
    <x v="3"/>
    <n v="1"/>
  </r>
  <r>
    <n v="2023"/>
    <n v="80211"/>
    <s v="Disability"/>
    <x v="10"/>
    <s v="%"/>
    <s v="Crude prevalence"/>
    <n v="12"/>
    <n v="37940"/>
    <s v="Chaffee Park"/>
    <n v="80211"/>
    <s v="Chaffee Park"/>
    <x v="2"/>
    <n v="1"/>
  </r>
  <r>
    <n v="2022"/>
    <n v="80211"/>
    <s v="Prevention"/>
    <x v="11"/>
    <s v="%"/>
    <s v="Crude prevalence"/>
    <n v="61.8"/>
    <n v="37940"/>
    <s v="Jefferson Park"/>
    <n v="80211"/>
    <s v="Jefferson Park"/>
    <x v="3"/>
    <n v="2"/>
  </r>
  <r>
    <n v="2022"/>
    <n v="80211"/>
    <s v="Prevention"/>
    <x v="11"/>
    <s v="%"/>
    <s v="Crude prevalence"/>
    <n v="61.8"/>
    <n v="37940"/>
    <s v="Sunnyside"/>
    <n v="80211"/>
    <s v="Sunnyside"/>
    <x v="3"/>
    <n v="1"/>
  </r>
  <r>
    <n v="2022"/>
    <n v="80211"/>
    <s v="Prevention"/>
    <x v="11"/>
    <s v="%"/>
    <s v="Crude prevalence"/>
    <n v="61.8"/>
    <n v="37940"/>
    <s v="Chaffee Park"/>
    <n v="80211"/>
    <s v="Chaffee Park"/>
    <x v="2"/>
    <n v="1"/>
  </r>
  <r>
    <n v="2023"/>
    <n v="80211"/>
    <s v="Health Outcomes"/>
    <x v="12"/>
    <s v="%"/>
    <s v="Crude prevalence"/>
    <n v="2.9"/>
    <n v="37940"/>
    <s v="Jefferson Park"/>
    <n v="80211"/>
    <s v="Jefferson Park"/>
    <x v="3"/>
    <n v="2"/>
  </r>
  <r>
    <n v="2023"/>
    <n v="80211"/>
    <s v="Health Outcomes"/>
    <x v="12"/>
    <s v="%"/>
    <s v="Crude prevalence"/>
    <n v="2.9"/>
    <n v="37940"/>
    <s v="Sunnyside"/>
    <n v="80211"/>
    <s v="Sunnyside"/>
    <x v="3"/>
    <n v="1"/>
  </r>
  <r>
    <n v="2023"/>
    <n v="80211"/>
    <s v="Health Outcomes"/>
    <x v="12"/>
    <s v="%"/>
    <s v="Crude prevalence"/>
    <n v="2.9"/>
    <n v="37940"/>
    <s v="Chaffee Park"/>
    <n v="80211"/>
    <s v="Chaffee Park"/>
    <x v="2"/>
    <n v="1"/>
  </r>
  <r>
    <n v="2023"/>
    <n v="80211"/>
    <s v="Health Risk Behaviors"/>
    <x v="13"/>
    <s v="%"/>
    <s v="Crude prevalence"/>
    <n v="8.1999999999999993"/>
    <n v="37940"/>
    <s v="Jefferson Park"/>
    <n v="80211"/>
    <s v="Jefferson Park"/>
    <x v="3"/>
    <n v="2"/>
  </r>
  <r>
    <n v="2023"/>
    <n v="80211"/>
    <s v="Health Risk Behaviors"/>
    <x v="13"/>
    <s v="%"/>
    <s v="Crude prevalence"/>
    <n v="8.1999999999999993"/>
    <n v="37940"/>
    <s v="Sunnyside"/>
    <n v="80211"/>
    <s v="Sunnyside"/>
    <x v="3"/>
    <n v="1"/>
  </r>
  <r>
    <n v="2023"/>
    <n v="80211"/>
    <s v="Health Risk Behaviors"/>
    <x v="13"/>
    <s v="%"/>
    <s v="Crude prevalence"/>
    <n v="8.1999999999999993"/>
    <n v="37940"/>
    <s v="Chaffee Park"/>
    <n v="80211"/>
    <s v="Chaffee Park"/>
    <x v="2"/>
    <n v="1"/>
  </r>
  <r>
    <n v="2022"/>
    <n v="80211"/>
    <s v="Prevention"/>
    <x v="14"/>
    <s v="%"/>
    <s v="Crude prevalence"/>
    <n v="68.900000000000006"/>
    <n v="37940"/>
    <s v="Jefferson Park"/>
    <n v="80211"/>
    <s v="Jefferson Park"/>
    <x v="3"/>
    <n v="2"/>
  </r>
  <r>
    <n v="2022"/>
    <n v="80211"/>
    <s v="Prevention"/>
    <x v="14"/>
    <s v="%"/>
    <s v="Crude prevalence"/>
    <n v="68.900000000000006"/>
    <n v="37940"/>
    <s v="Sunnyside"/>
    <n v="80211"/>
    <s v="Sunnyside"/>
    <x v="3"/>
    <n v="1"/>
  </r>
  <r>
    <n v="2022"/>
    <n v="80211"/>
    <s v="Prevention"/>
    <x v="14"/>
    <s v="%"/>
    <s v="Crude prevalence"/>
    <n v="68.900000000000006"/>
    <n v="37940"/>
    <s v="Chaffee Park"/>
    <n v="80211"/>
    <s v="Chaffee Park"/>
    <x v="2"/>
    <n v="1"/>
  </r>
  <r>
    <n v="2023"/>
    <n v="80211"/>
    <s v="Health Outcomes"/>
    <x v="15"/>
    <s v="%"/>
    <s v="Crude prevalence"/>
    <n v="24"/>
    <n v="37940"/>
    <s v="Jefferson Park"/>
    <n v="80211"/>
    <s v="Jefferson Park"/>
    <x v="3"/>
    <n v="2"/>
  </r>
  <r>
    <n v="2023"/>
    <n v="80211"/>
    <s v="Health Outcomes"/>
    <x v="15"/>
    <s v="%"/>
    <s v="Crude prevalence"/>
    <n v="24"/>
    <n v="37940"/>
    <s v="Sunnyside"/>
    <n v="80211"/>
    <s v="Sunnyside"/>
    <x v="3"/>
    <n v="1"/>
  </r>
  <r>
    <n v="2023"/>
    <n v="80211"/>
    <s v="Health Outcomes"/>
    <x v="15"/>
    <s v="%"/>
    <s v="Crude prevalence"/>
    <n v="24"/>
    <n v="37940"/>
    <s v="Chaffee Park"/>
    <n v="80211"/>
    <s v="Chaffee Park"/>
    <x v="2"/>
    <n v="1"/>
  </r>
  <r>
    <n v="2023"/>
    <n v="80211"/>
    <s v="Health Outcomes"/>
    <x v="16"/>
    <s v="%"/>
    <s v="Crude prevalence"/>
    <n v="5"/>
    <n v="37940"/>
    <s v="Jefferson Park"/>
    <n v="80211"/>
    <s v="Jefferson Park"/>
    <x v="3"/>
    <n v="2"/>
  </r>
  <r>
    <n v="2023"/>
    <n v="80211"/>
    <s v="Health Outcomes"/>
    <x v="16"/>
    <s v="%"/>
    <s v="Crude prevalence"/>
    <n v="5"/>
    <n v="37940"/>
    <s v="Sunnyside"/>
    <n v="80211"/>
    <s v="Sunnyside"/>
    <x v="3"/>
    <n v="1"/>
  </r>
  <r>
    <n v="2023"/>
    <n v="80211"/>
    <s v="Health Outcomes"/>
    <x v="16"/>
    <s v="%"/>
    <s v="Crude prevalence"/>
    <n v="5"/>
    <n v="37940"/>
    <s v="Chaffee Park"/>
    <n v="80211"/>
    <s v="Chaffee Park"/>
    <x v="2"/>
    <n v="1"/>
  </r>
  <r>
    <n v="2023"/>
    <n v="80211"/>
    <s v="Disability"/>
    <x v="17"/>
    <s v="%"/>
    <s v="Crude prevalence"/>
    <n v="20.5"/>
    <n v="37940"/>
    <s v="Jefferson Park"/>
    <n v="80211"/>
    <s v="Jefferson Park"/>
    <x v="3"/>
    <n v="2"/>
  </r>
  <r>
    <n v="2023"/>
    <n v="80211"/>
    <s v="Disability"/>
    <x v="17"/>
    <s v="%"/>
    <s v="Crude prevalence"/>
    <n v="20.5"/>
    <n v="37940"/>
    <s v="Sunnyside"/>
    <n v="80211"/>
    <s v="Sunnyside"/>
    <x v="3"/>
    <n v="1"/>
  </r>
  <r>
    <n v="2023"/>
    <n v="80211"/>
    <s v="Disability"/>
    <x v="17"/>
    <s v="%"/>
    <s v="Crude prevalence"/>
    <n v="20.5"/>
    <n v="37940"/>
    <s v="Chaffee Park"/>
    <n v="80211"/>
    <s v="Chaffee Park"/>
    <x v="2"/>
    <n v="1"/>
  </r>
  <r>
    <n v="2023"/>
    <n v="80211"/>
    <s v="Health Status"/>
    <x v="18"/>
    <s v="%"/>
    <s v="Crude prevalence"/>
    <n v="10.8"/>
    <n v="37940"/>
    <s v="Jefferson Park"/>
    <n v="80211"/>
    <s v="Jefferson Park"/>
    <x v="3"/>
    <n v="2"/>
  </r>
  <r>
    <n v="2023"/>
    <n v="80211"/>
    <s v="Health Status"/>
    <x v="18"/>
    <s v="%"/>
    <s v="Crude prevalence"/>
    <n v="10.8"/>
    <n v="37940"/>
    <s v="Sunnyside"/>
    <n v="80211"/>
    <s v="Sunnyside"/>
    <x v="3"/>
    <n v="1"/>
  </r>
  <r>
    <n v="2023"/>
    <n v="80211"/>
    <s v="Health Status"/>
    <x v="18"/>
    <s v="%"/>
    <s v="Crude prevalence"/>
    <n v="10.8"/>
    <n v="37940"/>
    <s v="Chaffee Park"/>
    <n v="80211"/>
    <s v="Chaffee Park"/>
    <x v="2"/>
    <n v="1"/>
  </r>
  <r>
    <n v="2023"/>
    <n v="80211"/>
    <s v="Disability"/>
    <x v="19"/>
    <s v="%"/>
    <s v="Crude prevalence"/>
    <n v="4.0999999999999996"/>
    <n v="37940"/>
    <s v="Jefferson Park"/>
    <n v="80211"/>
    <s v="Jefferson Park"/>
    <x v="3"/>
    <n v="2"/>
  </r>
  <r>
    <n v="2023"/>
    <n v="80211"/>
    <s v="Disability"/>
    <x v="19"/>
    <s v="%"/>
    <s v="Crude prevalence"/>
    <n v="4.0999999999999996"/>
    <n v="37940"/>
    <s v="Sunnyside"/>
    <n v="80211"/>
    <s v="Sunnyside"/>
    <x v="3"/>
    <n v="1"/>
  </r>
  <r>
    <n v="2023"/>
    <n v="80211"/>
    <s v="Disability"/>
    <x v="19"/>
    <s v="%"/>
    <s v="Crude prevalence"/>
    <n v="4.0999999999999996"/>
    <n v="37940"/>
    <s v="Chaffee Park"/>
    <n v="80211"/>
    <s v="Chaffee Park"/>
    <x v="2"/>
    <n v="1"/>
  </r>
  <r>
    <n v="2023"/>
    <n v="80211"/>
    <s v="Health Outcomes"/>
    <x v="20"/>
    <s v="%"/>
    <s v="Crude prevalence"/>
    <n v="24.5"/>
    <n v="37940"/>
    <s v="Jefferson Park"/>
    <n v="80211"/>
    <s v="Jefferson Park"/>
    <x v="3"/>
    <n v="2"/>
  </r>
  <r>
    <n v="2023"/>
    <n v="80211"/>
    <s v="Health Outcomes"/>
    <x v="20"/>
    <s v="%"/>
    <s v="Crude prevalence"/>
    <n v="24.5"/>
    <n v="37940"/>
    <s v="Sunnyside"/>
    <n v="80211"/>
    <s v="Sunnyside"/>
    <x v="3"/>
    <n v="1"/>
  </r>
  <r>
    <n v="2023"/>
    <n v="80211"/>
    <s v="Health Outcomes"/>
    <x v="20"/>
    <s v="%"/>
    <s v="Crude prevalence"/>
    <n v="24.5"/>
    <n v="37940"/>
    <s v="Chaffee Park"/>
    <n v="80211"/>
    <s v="Chaffee Park"/>
    <x v="2"/>
    <n v="1"/>
  </r>
  <r>
    <n v="2023"/>
    <n v="80211"/>
    <s v="Disability"/>
    <x v="21"/>
    <s v="%"/>
    <s v="Crude prevalence"/>
    <n v="5.0999999999999996"/>
    <n v="37940"/>
    <s v="Jefferson Park"/>
    <n v="80211"/>
    <s v="Jefferson Park"/>
    <x v="3"/>
    <n v="2"/>
  </r>
  <r>
    <n v="2023"/>
    <n v="80211"/>
    <s v="Disability"/>
    <x v="21"/>
    <s v="%"/>
    <s v="Crude prevalence"/>
    <n v="5.0999999999999996"/>
    <n v="37940"/>
    <s v="Sunnyside"/>
    <n v="80211"/>
    <s v="Sunnyside"/>
    <x v="3"/>
    <n v="1"/>
  </r>
  <r>
    <n v="2023"/>
    <n v="80211"/>
    <s v="Disability"/>
    <x v="21"/>
    <s v="%"/>
    <s v="Crude prevalence"/>
    <n v="5.0999999999999996"/>
    <n v="37940"/>
    <s v="Chaffee Park"/>
    <n v="80211"/>
    <s v="Chaffee Park"/>
    <x v="2"/>
    <n v="1"/>
  </r>
  <r>
    <n v="2023"/>
    <n v="80211"/>
    <s v="Health Risk Behaviors"/>
    <x v="22"/>
    <s v="%"/>
    <s v="Crude prevalence"/>
    <n v="13"/>
    <n v="37940"/>
    <s v="Jefferson Park"/>
    <n v="80211"/>
    <s v="Jefferson Park"/>
    <x v="3"/>
    <n v="2"/>
  </r>
  <r>
    <n v="2023"/>
    <n v="80211"/>
    <s v="Health Risk Behaviors"/>
    <x v="22"/>
    <s v="%"/>
    <s v="Crude prevalence"/>
    <n v="13"/>
    <n v="37940"/>
    <s v="Sunnyside"/>
    <n v="80211"/>
    <s v="Sunnyside"/>
    <x v="3"/>
    <n v="1"/>
  </r>
  <r>
    <n v="2023"/>
    <n v="80211"/>
    <s v="Health Risk Behaviors"/>
    <x v="22"/>
    <s v="%"/>
    <s v="Crude prevalence"/>
    <n v="13"/>
    <n v="37940"/>
    <s v="Chaffee Park"/>
    <n v="80211"/>
    <s v="Chaffee Park"/>
    <x v="2"/>
    <n v="1"/>
  </r>
  <r>
    <n v="2022"/>
    <n v="80211"/>
    <s v="Prevention"/>
    <x v="23"/>
    <s v="%"/>
    <s v="Crude prevalence"/>
    <n v="73.900000000000006"/>
    <n v="37940"/>
    <s v="Jefferson Park"/>
    <n v="80211"/>
    <s v="Jefferson Park"/>
    <x v="3"/>
    <n v="2"/>
  </r>
  <r>
    <n v="2022"/>
    <n v="80211"/>
    <s v="Prevention"/>
    <x v="23"/>
    <s v="%"/>
    <s v="Crude prevalence"/>
    <n v="73.900000000000006"/>
    <n v="37940"/>
    <s v="Sunnyside"/>
    <n v="80211"/>
    <s v="Sunnyside"/>
    <x v="3"/>
    <n v="1"/>
  </r>
  <r>
    <n v="2022"/>
    <n v="80211"/>
    <s v="Prevention"/>
    <x v="23"/>
    <s v="%"/>
    <s v="Crude prevalence"/>
    <n v="73.900000000000006"/>
    <n v="37940"/>
    <s v="Chaffee Park"/>
    <n v="80211"/>
    <s v="Chaffee Park"/>
    <x v="2"/>
    <n v="1"/>
  </r>
  <r>
    <n v="2023"/>
    <n v="80211"/>
    <s v="Health Status"/>
    <x v="24"/>
    <s v="%"/>
    <s v="Crude prevalence"/>
    <n v="14.9"/>
    <n v="37940"/>
    <s v="Jefferson Park"/>
    <n v="80211"/>
    <s v="Jefferson Park"/>
    <x v="3"/>
    <n v="2"/>
  </r>
  <r>
    <n v="2023"/>
    <n v="80211"/>
    <s v="Health Status"/>
    <x v="24"/>
    <s v="%"/>
    <s v="Crude prevalence"/>
    <n v="14.9"/>
    <n v="37940"/>
    <s v="Sunnyside"/>
    <n v="80211"/>
    <s v="Sunnyside"/>
    <x v="3"/>
    <n v="1"/>
  </r>
  <r>
    <n v="2023"/>
    <n v="80211"/>
    <s v="Health Status"/>
    <x v="24"/>
    <s v="%"/>
    <s v="Crude prevalence"/>
    <n v="14.9"/>
    <n v="37940"/>
    <s v="Chaffee Park"/>
    <n v="80211"/>
    <s v="Chaffee Park"/>
    <x v="2"/>
    <n v="1"/>
  </r>
  <r>
    <n v="2023"/>
    <n v="80211"/>
    <s v="Disability"/>
    <x v="25"/>
    <s v="%"/>
    <s v="Crude prevalence"/>
    <n v="6.1"/>
    <n v="37940"/>
    <s v="Jefferson Park"/>
    <n v="80211"/>
    <s v="Jefferson Park"/>
    <x v="3"/>
    <n v="2"/>
  </r>
  <r>
    <n v="2023"/>
    <n v="80211"/>
    <s v="Disability"/>
    <x v="25"/>
    <s v="%"/>
    <s v="Crude prevalence"/>
    <n v="6.1"/>
    <n v="37940"/>
    <s v="Sunnyside"/>
    <n v="80211"/>
    <s v="Sunnyside"/>
    <x v="3"/>
    <n v="1"/>
  </r>
  <r>
    <n v="2023"/>
    <n v="80211"/>
    <s v="Disability"/>
    <x v="25"/>
    <s v="%"/>
    <s v="Crude prevalence"/>
    <n v="6.1"/>
    <n v="37940"/>
    <s v="Chaffee Park"/>
    <n v="80211"/>
    <s v="Chaffee Park"/>
    <x v="2"/>
    <n v="1"/>
  </r>
  <r>
    <n v="2023"/>
    <n v="80211"/>
    <s v="Health Outcomes"/>
    <x v="26"/>
    <s v="%"/>
    <s v="Crude prevalence"/>
    <n v="19.399999999999999"/>
    <n v="37940"/>
    <s v="Jefferson Park"/>
    <n v="80211"/>
    <s v="Jefferson Park"/>
    <x v="3"/>
    <n v="2"/>
  </r>
  <r>
    <n v="2023"/>
    <n v="80211"/>
    <s v="Health Outcomes"/>
    <x v="26"/>
    <s v="%"/>
    <s v="Crude prevalence"/>
    <n v="19.399999999999999"/>
    <n v="37940"/>
    <s v="Sunnyside"/>
    <n v="80211"/>
    <s v="Sunnyside"/>
    <x v="3"/>
    <n v="1"/>
  </r>
  <r>
    <n v="2023"/>
    <n v="80211"/>
    <s v="Health Outcomes"/>
    <x v="26"/>
    <s v="%"/>
    <s v="Crude prevalence"/>
    <n v="19.399999999999999"/>
    <n v="37940"/>
    <s v="Chaffee Park"/>
    <n v="80211"/>
    <s v="Chaffee Park"/>
    <x v="2"/>
    <n v="1"/>
  </r>
  <r>
    <n v="2023"/>
    <n v="80211"/>
    <s v="Health Status"/>
    <x v="27"/>
    <s v="%"/>
    <s v="Crude prevalence"/>
    <n v="8.8000000000000007"/>
    <n v="37940"/>
    <s v="Jefferson Park"/>
    <n v="80211"/>
    <s v="Jefferson Park"/>
    <x v="3"/>
    <n v="2"/>
  </r>
  <r>
    <n v="2023"/>
    <n v="80211"/>
    <s v="Health Status"/>
    <x v="27"/>
    <s v="%"/>
    <s v="Crude prevalence"/>
    <n v="8.8000000000000007"/>
    <n v="37940"/>
    <s v="Sunnyside"/>
    <n v="80211"/>
    <s v="Sunnyside"/>
    <x v="3"/>
    <n v="1"/>
  </r>
  <r>
    <n v="2023"/>
    <n v="80211"/>
    <s v="Health Status"/>
    <x v="27"/>
    <s v="%"/>
    <s v="Crude prevalence"/>
    <n v="8.8000000000000007"/>
    <n v="37940"/>
    <s v="Chaffee Park"/>
    <n v="80211"/>
    <s v="Chaffee Park"/>
    <x v="2"/>
    <n v="1"/>
  </r>
  <r>
    <n v="2023"/>
    <n v="80211"/>
    <s v="Disability"/>
    <x v="28"/>
    <s v="%"/>
    <s v="Crude prevalence"/>
    <n v="1.9"/>
    <n v="37940"/>
    <s v="Jefferson Park"/>
    <n v="80211"/>
    <s v="Jefferson Park"/>
    <x v="3"/>
    <n v="2"/>
  </r>
  <r>
    <n v="2023"/>
    <n v="80211"/>
    <s v="Disability"/>
    <x v="28"/>
    <s v="%"/>
    <s v="Crude prevalence"/>
    <n v="1.9"/>
    <n v="37940"/>
    <s v="Sunnyside"/>
    <n v="80211"/>
    <s v="Sunnyside"/>
    <x v="3"/>
    <n v="1"/>
  </r>
  <r>
    <n v="2023"/>
    <n v="80211"/>
    <s v="Disability"/>
    <x v="28"/>
    <s v="%"/>
    <s v="Crude prevalence"/>
    <n v="1.9"/>
    <n v="37940"/>
    <s v="Chaffee Park"/>
    <n v="80211"/>
    <s v="Chaffee Park"/>
    <x v="2"/>
    <n v="1"/>
  </r>
  <r>
    <n v="2022"/>
    <n v="80211"/>
    <s v="Health Risk Behaviors"/>
    <x v="29"/>
    <s v="%"/>
    <s v="Crude prevalence"/>
    <n v="26.7"/>
    <n v="37940"/>
    <s v="Jefferson Park"/>
    <n v="80211"/>
    <s v="Jefferson Park"/>
    <x v="3"/>
    <n v="2"/>
  </r>
  <r>
    <n v="2022"/>
    <n v="80211"/>
    <s v="Health Risk Behaviors"/>
    <x v="29"/>
    <s v="%"/>
    <s v="Crude prevalence"/>
    <n v="26.7"/>
    <n v="37940"/>
    <s v="Sunnyside"/>
    <n v="80211"/>
    <s v="Sunnyside"/>
    <x v="3"/>
    <n v="1"/>
  </r>
  <r>
    <n v="2022"/>
    <n v="80211"/>
    <s v="Health Risk Behaviors"/>
    <x v="29"/>
    <s v="%"/>
    <s v="Crude prevalence"/>
    <n v="26.7"/>
    <n v="37940"/>
    <s v="Chaffee Park"/>
    <n v="80211"/>
    <s v="Chaffee Park"/>
    <x v="2"/>
    <n v="1"/>
  </r>
  <r>
    <n v="2023"/>
    <n v="80211"/>
    <s v="Health Outcomes"/>
    <x v="30"/>
    <s v="%"/>
    <s v="Crude prevalence"/>
    <n v="1.6"/>
    <n v="37940"/>
    <s v="Jefferson Park"/>
    <n v="80211"/>
    <s v="Jefferson Park"/>
    <x v="3"/>
    <n v="2"/>
  </r>
  <r>
    <n v="2023"/>
    <n v="80211"/>
    <s v="Health Outcomes"/>
    <x v="30"/>
    <s v="%"/>
    <s v="Crude prevalence"/>
    <n v="1.6"/>
    <n v="37940"/>
    <s v="Sunnyside"/>
    <n v="80211"/>
    <s v="Sunnyside"/>
    <x v="3"/>
    <n v="1"/>
  </r>
  <r>
    <n v="2023"/>
    <n v="80211"/>
    <s v="Health Outcomes"/>
    <x v="30"/>
    <s v="%"/>
    <s v="Crude prevalence"/>
    <n v="1.6"/>
    <n v="37940"/>
    <s v="Chaffee Park"/>
    <n v="80211"/>
    <s v="Chaffee Park"/>
    <x v="2"/>
    <n v="1"/>
  </r>
  <r>
    <n v="2022"/>
    <n v="80211"/>
    <s v="Health Outcomes"/>
    <x v="31"/>
    <s v="%"/>
    <s v="Crude prevalence"/>
    <n v="7.5"/>
    <n v="37940"/>
    <s v="Jefferson Park"/>
    <n v="80211"/>
    <s v="Jefferson Park"/>
    <x v="3"/>
    <n v="2"/>
  </r>
  <r>
    <n v="2022"/>
    <n v="80211"/>
    <s v="Health Outcomes"/>
    <x v="31"/>
    <s v="%"/>
    <s v="Crude prevalence"/>
    <n v="7.5"/>
    <n v="37940"/>
    <s v="Sunnyside"/>
    <n v="80211"/>
    <s v="Sunnyside"/>
    <x v="3"/>
    <n v="1"/>
  </r>
  <r>
    <n v="2022"/>
    <n v="80211"/>
    <s v="Health Outcomes"/>
    <x v="31"/>
    <s v="%"/>
    <s v="Crude prevalence"/>
    <n v="7.5"/>
    <n v="37940"/>
    <s v="Chaffee Park"/>
    <n v="80211"/>
    <s v="Chaffee Park"/>
    <x v="2"/>
    <n v="1"/>
  </r>
  <r>
    <n v="2023"/>
    <n v="80211"/>
    <s v="Disability"/>
    <x v="32"/>
    <s v="%"/>
    <s v="Crude prevalence"/>
    <n v="3"/>
    <n v="37940"/>
    <s v="Jefferson Park"/>
    <n v="80211"/>
    <s v="Jefferson Park"/>
    <x v="3"/>
    <n v="2"/>
  </r>
  <r>
    <n v="2023"/>
    <n v="80211"/>
    <s v="Disability"/>
    <x v="32"/>
    <s v="%"/>
    <s v="Crude prevalence"/>
    <n v="3"/>
    <n v="37940"/>
    <s v="Sunnyside"/>
    <n v="80211"/>
    <s v="Sunnyside"/>
    <x v="3"/>
    <n v="1"/>
  </r>
  <r>
    <n v="2023"/>
    <n v="80211"/>
    <s v="Disability"/>
    <x v="32"/>
    <s v="%"/>
    <s v="Crude prevalence"/>
    <n v="3"/>
    <n v="37940"/>
    <s v="Chaffee Park"/>
    <n v="80211"/>
    <s v="Chaffee Park"/>
    <x v="2"/>
    <n v="1"/>
  </r>
  <r>
    <n v="2023"/>
    <n v="80212"/>
    <s v="Prevention"/>
    <x v="0"/>
    <s v="%"/>
    <s v="Crude prevalence"/>
    <n v="9.4"/>
    <n v="20397"/>
    <s v="Berkeley"/>
    <n v="80212"/>
    <s v="Berkeley"/>
    <x v="2"/>
    <n v="2"/>
  </r>
  <r>
    <n v="2023"/>
    <n v="80212"/>
    <s v="Prevention"/>
    <x v="0"/>
    <s v="%"/>
    <s v="Crude prevalence"/>
    <n v="9.4"/>
    <n v="20397"/>
    <s v="Sloan Lake"/>
    <n v="80212"/>
    <s v="Sloan Lake"/>
    <x v="1"/>
    <n v="2"/>
  </r>
  <r>
    <n v="2023"/>
    <n v="80212"/>
    <s v="Prevention"/>
    <x v="0"/>
    <s v="%"/>
    <s v="Crude prevalence"/>
    <n v="9.4"/>
    <n v="20397"/>
    <s v="Sloan Lake"/>
    <n v="80212"/>
    <s v="Sloan Lake"/>
    <x v="2"/>
    <n v="3"/>
  </r>
  <r>
    <n v="2023"/>
    <n v="80212"/>
    <s v="Health Outcomes"/>
    <x v="1"/>
    <s v="%"/>
    <s v="Crude prevalence"/>
    <n v="18.8"/>
    <n v="20397"/>
    <s v="Berkeley"/>
    <n v="80212"/>
    <s v="Berkeley"/>
    <x v="2"/>
    <n v="2"/>
  </r>
  <r>
    <n v="2023"/>
    <n v="80212"/>
    <s v="Health Outcomes"/>
    <x v="1"/>
    <s v="%"/>
    <s v="Crude prevalence"/>
    <n v="18.8"/>
    <n v="20397"/>
    <s v="Sloan Lake"/>
    <n v="80212"/>
    <s v="Sloan Lake"/>
    <x v="1"/>
    <n v="2"/>
  </r>
  <r>
    <n v="2023"/>
    <n v="80212"/>
    <s v="Health Outcomes"/>
    <x v="1"/>
    <s v="%"/>
    <s v="Crude prevalence"/>
    <n v="18.8"/>
    <n v="20397"/>
    <s v="Sloan Lake"/>
    <n v="80212"/>
    <s v="Sloan Lake"/>
    <x v="2"/>
    <n v="3"/>
  </r>
  <r>
    <n v="2023"/>
    <n v="80212"/>
    <s v="Health Risk Behaviors"/>
    <x v="2"/>
    <s v="%"/>
    <s v="Crude prevalence"/>
    <n v="25.8"/>
    <n v="20397"/>
    <s v="Berkeley"/>
    <n v="80212"/>
    <s v="Berkeley"/>
    <x v="2"/>
    <n v="2"/>
  </r>
  <r>
    <n v="2023"/>
    <n v="80212"/>
    <s v="Health Risk Behaviors"/>
    <x v="2"/>
    <s v="%"/>
    <s v="Crude prevalence"/>
    <n v="25.8"/>
    <n v="20397"/>
    <s v="Sloan Lake"/>
    <n v="80212"/>
    <s v="Sloan Lake"/>
    <x v="1"/>
    <n v="2"/>
  </r>
  <r>
    <n v="2023"/>
    <n v="80212"/>
    <s v="Health Risk Behaviors"/>
    <x v="2"/>
    <s v="%"/>
    <s v="Crude prevalence"/>
    <n v="25.8"/>
    <n v="20397"/>
    <s v="Sloan Lake"/>
    <n v="80212"/>
    <s v="Sloan Lake"/>
    <x v="2"/>
    <n v="3"/>
  </r>
  <r>
    <n v="2023"/>
    <n v="80212"/>
    <s v="Health Outcomes"/>
    <x v="3"/>
    <s v="%"/>
    <s v="Crude prevalence"/>
    <n v="21.1"/>
    <n v="20397"/>
    <s v="Berkeley"/>
    <n v="80212"/>
    <s v="Berkeley"/>
    <x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298EED-6E73-8D48-9C5F-71688B96B28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rade" colHeaderCaption="Measures">
  <location ref="A3:AI9" firstHeaderRow="1" firstDataRow="2" firstDataCol="1"/>
  <pivotFields count="13">
    <pivotField showAll="0"/>
    <pivotField showAll="0"/>
    <pivotField showAll="0"/>
    <pivotField axis="axisCol" showAll="0">
      <items count="34">
        <item x="31"/>
        <item x="17"/>
        <item x="1"/>
        <item x="2"/>
        <item x="5"/>
        <item x="9"/>
        <item x="12"/>
        <item x="10"/>
        <item x="11"/>
        <item x="7"/>
        <item x="6"/>
        <item x="13"/>
        <item x="0"/>
        <item x="15"/>
        <item x="16"/>
        <item x="18"/>
        <item x="24"/>
        <item x="27"/>
        <item x="19"/>
        <item x="3"/>
        <item x="20"/>
        <item x="21"/>
        <item x="23"/>
        <item x="25"/>
        <item x="22"/>
        <item x="26"/>
        <item x="28"/>
        <item x="29"/>
        <item x="30"/>
        <item x="4"/>
        <item x="32"/>
        <item x="14"/>
        <item x="8"/>
        <item t="default"/>
      </items>
    </pivotField>
    <pivotField showAll="0"/>
    <pivotField showAll="0"/>
    <pivotField dataField="1" showAll="0"/>
    <pivotField numFmtId="3" showAll="0"/>
    <pivotField showAll="0"/>
    <pivotField showAll="0"/>
    <pivotField showAll="0"/>
    <pivotField axis="axisRow" showAll="0">
      <items count="5">
        <item x="0"/>
        <item x="1"/>
        <item x="2"/>
        <item x="3"/>
        <item t="default"/>
      </items>
    </pivotField>
    <pivotField showAll="0"/>
  </pivotFields>
  <rowFields count="1">
    <field x="11"/>
  </rowFields>
  <rowItems count="5">
    <i>
      <x/>
    </i>
    <i>
      <x v="1"/>
    </i>
    <i>
      <x v="2"/>
    </i>
    <i>
      <x v="3"/>
    </i>
    <i t="grand">
      <x/>
    </i>
  </rowItems>
  <colFields count="1">
    <field x="3"/>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Value" fld="6" subtotal="average" baseField="0" baseItem="0"/>
  </dataFields>
  <chartFormats count="3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21"/>
          </reference>
        </references>
      </pivotArea>
    </chartFormat>
    <chartFormat chart="0" format="22" series="1">
      <pivotArea type="data" outline="0" fieldPosition="0">
        <references count="2">
          <reference field="4294967294" count="1" selected="0">
            <x v="0"/>
          </reference>
          <reference field="3" count="1" selected="0">
            <x v="22"/>
          </reference>
        </references>
      </pivotArea>
    </chartFormat>
    <chartFormat chart="0" format="23" series="1">
      <pivotArea type="data" outline="0" fieldPosition="0">
        <references count="2">
          <reference field="4294967294" count="1" selected="0">
            <x v="0"/>
          </reference>
          <reference field="3" count="1" selected="0">
            <x v="23"/>
          </reference>
        </references>
      </pivotArea>
    </chartFormat>
    <chartFormat chart="0" format="24" series="1">
      <pivotArea type="data" outline="0" fieldPosition="0">
        <references count="2">
          <reference field="4294967294" count="1" selected="0">
            <x v="0"/>
          </reference>
          <reference field="3" count="1" selected="0">
            <x v="24"/>
          </reference>
        </references>
      </pivotArea>
    </chartFormat>
    <chartFormat chart="0" format="25" series="1">
      <pivotArea type="data" outline="0" fieldPosition="0">
        <references count="2">
          <reference field="4294967294" count="1" selected="0">
            <x v="0"/>
          </reference>
          <reference field="3" count="1" selected="0">
            <x v="25"/>
          </reference>
        </references>
      </pivotArea>
    </chartFormat>
    <chartFormat chart="0" format="26" series="1">
      <pivotArea type="data" outline="0" fieldPosition="0">
        <references count="2">
          <reference field="4294967294" count="1" selected="0">
            <x v="0"/>
          </reference>
          <reference field="3" count="1" selected="0">
            <x v="26"/>
          </reference>
        </references>
      </pivotArea>
    </chartFormat>
    <chartFormat chart="0" format="27" series="1">
      <pivotArea type="data" outline="0" fieldPosition="0">
        <references count="2">
          <reference field="4294967294" count="1" selected="0">
            <x v="0"/>
          </reference>
          <reference field="3" count="1" selected="0">
            <x v="27"/>
          </reference>
        </references>
      </pivotArea>
    </chartFormat>
    <chartFormat chart="0" format="28" series="1">
      <pivotArea type="data" outline="0" fieldPosition="0">
        <references count="2">
          <reference field="4294967294" count="1" selected="0">
            <x v="0"/>
          </reference>
          <reference field="3" count="1" selected="0">
            <x v="28"/>
          </reference>
        </references>
      </pivotArea>
    </chartFormat>
    <chartFormat chart="0" format="29" series="1">
      <pivotArea type="data" outline="0" fieldPosition="0">
        <references count="2">
          <reference field="4294967294" count="1" selected="0">
            <x v="0"/>
          </reference>
          <reference field="3" count="1" selected="0">
            <x v="29"/>
          </reference>
        </references>
      </pivotArea>
    </chartFormat>
    <chartFormat chart="0" format="30" series="1">
      <pivotArea type="data" outline="0" fieldPosition="0">
        <references count="2">
          <reference field="4294967294" count="1" selected="0">
            <x v="0"/>
          </reference>
          <reference field="3" count="1" selected="0">
            <x v="30"/>
          </reference>
        </references>
      </pivotArea>
    </chartFormat>
    <chartFormat chart="0" format="31" series="1">
      <pivotArea type="data" outline="0" fieldPosition="0">
        <references count="2">
          <reference field="4294967294" count="1" selected="0">
            <x v="0"/>
          </reference>
          <reference field="3" count="1" selected="0">
            <x v="31"/>
          </reference>
        </references>
      </pivotArea>
    </chartFormat>
    <chartFormat chart="0" format="32" series="1">
      <pivotArea type="data" outline="0" fieldPosition="0">
        <references count="2">
          <reference field="4294967294" count="1" selected="0">
            <x v="0"/>
          </reference>
          <reference field="3"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sure" xr10:uid="{3C4ED583-0D20-294A-97F7-0ECA1A5286C9}" sourceName="Measure">
  <pivotTables>
    <pivotTable tabId="5" name="PivotTable1"/>
  </pivotTables>
  <data>
    <tabular pivotCacheId="1431722479">
      <items count="33">
        <i x="31" s="1"/>
        <i x="17" s="1"/>
        <i x="1" s="1"/>
        <i x="2" s="1"/>
        <i x="5" s="1"/>
        <i x="9" s="1"/>
        <i x="12" s="1"/>
        <i x="10" s="1"/>
        <i x="11" s="1"/>
        <i x="7" s="1"/>
        <i x="6" s="1"/>
        <i x="13" s="1"/>
        <i x="0" s="1"/>
        <i x="15" s="1"/>
        <i x="16" s="1"/>
        <i x="18" s="1"/>
        <i x="24" s="1"/>
        <i x="27" s="1"/>
        <i x="19" s="1"/>
        <i x="3" s="1"/>
        <i x="20" s="1"/>
        <i x="21" s="1"/>
        <i x="23" s="1"/>
        <i x="25" s="1"/>
        <i x="22" s="1"/>
        <i x="26" s="1"/>
        <i x="28" s="1"/>
        <i x="29" s="1"/>
        <i x="30" s="1"/>
        <i x="4" s="1"/>
        <i x="32" s="1"/>
        <i x="1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asure" xr10:uid="{62FAFADA-5655-C84D-826F-3AA9A443319E}" cache="Slicer_Measure" caption="Measur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200382-EF92-FA45-8FE9-A73859BFF137}" name="Table2" displayName="Table2" ref="A1:M1001" totalsRowShown="0">
  <autoFilter ref="A1:M1001" xr:uid="{DC200382-EF92-FA45-8FE9-A73859BFF137}">
    <filterColumn colId="3">
      <filters>
        <filter val="Visits to doctor for routine checkup within the past year among adults"/>
      </filters>
    </filterColumn>
  </autoFilter>
  <tableColumns count="13">
    <tableColumn id="1" xr3:uid="{59F67DDF-4C95-674A-8D67-15DD34972CA3}" name="Year"/>
    <tableColumn id="2" xr3:uid="{401D9A35-29E4-8A45-BF1F-14B9B1DA5567}" name="LocationName"/>
    <tableColumn id="3" xr3:uid="{B29AE6EB-A673-A849-B7E8-3BF664DBF9C4}" name="Category"/>
    <tableColumn id="4" xr3:uid="{3DB91DEA-07C0-2742-BDF5-DD655910D4B1}" name="Measure"/>
    <tableColumn id="5" xr3:uid="{386A9956-CCEE-8C43-9D62-9C654D422293}" name="Data_Value_Unit"/>
    <tableColumn id="6" xr3:uid="{A98B406B-DE5C-2C45-9DDF-746CCD8DB26B}" name="Data_Value_Type"/>
    <tableColumn id="7" xr3:uid="{705BFB14-EEBE-B04F-BC3D-B583CC2E1589}" name="Data_Value"/>
    <tableColumn id="8" xr3:uid="{FB31C0D8-7598-F843-94E9-D2237121D2E7}" name="TotalPopulation" dataDxfId="1"/>
    <tableColumn id="9" xr3:uid="{9C1AB8B1-66F5-DA42-B444-49E27049E06A}" name="NBHD_Name"/>
    <tableColumn id="10" xr3:uid="{BC237CB6-C189-CA42-87BB-E85E706A024E}" name="ZIP_Code"/>
    <tableColumn id="11" xr3:uid="{6B360C88-16FA-904C-908E-ECB788DF2DB9}" name="name"/>
    <tableColumn id="12" xr3:uid="{8996DDBC-0236-584D-BE9D-B4F2C8CB2C72}" name="grade" dataDxfId="0"/>
    <tableColumn id="13" xr3:uid="{02E20B1C-4B6F-3A41-B7DC-A94BF4AC89D3}" name="RedLine_Score">
      <calculatedColumnFormula array="1">_xlfn.IFS(L1="A", 4, L1="B", 3, L1="C", 2, L1="D",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F94BC-5951-BD40-9892-BE331897C489}">
  <dimension ref="A1:P1001"/>
  <sheetViews>
    <sheetView workbookViewId="0">
      <selection sqref="A1:M919"/>
    </sheetView>
  </sheetViews>
  <sheetFormatPr baseColWidth="10" defaultRowHeight="16" x14ac:dyDescent="0.2"/>
  <cols>
    <col min="2" max="2" width="15.33203125" customWidth="1"/>
    <col min="5" max="5" width="17.6640625" customWidth="1"/>
    <col min="6" max="6" width="18.1640625" customWidth="1"/>
    <col min="7" max="7" width="13.1640625" customWidth="1"/>
    <col min="8" max="8" width="16.33203125" customWidth="1"/>
    <col min="9" max="9" width="14.6640625" customWidth="1"/>
    <col min="10" max="10" width="11" customWidth="1"/>
    <col min="13" max="13" width="15.5" customWidth="1"/>
  </cols>
  <sheetData>
    <row r="1" spans="1:13" x14ac:dyDescent="0.2">
      <c r="A1" t="s">
        <v>72</v>
      </c>
      <c r="B1" t="s">
        <v>73</v>
      </c>
      <c r="C1" t="s">
        <v>0</v>
      </c>
      <c r="D1" t="s">
        <v>1</v>
      </c>
      <c r="E1" t="s">
        <v>2</v>
      </c>
      <c r="F1" t="s">
        <v>3</v>
      </c>
      <c r="G1" t="s">
        <v>4</v>
      </c>
      <c r="H1" t="s">
        <v>5</v>
      </c>
      <c r="I1" t="s">
        <v>6</v>
      </c>
      <c r="J1" t="s">
        <v>7</v>
      </c>
      <c r="K1" t="s">
        <v>8</v>
      </c>
      <c r="L1" t="s">
        <v>9</v>
      </c>
      <c r="M1" t="s">
        <v>111</v>
      </c>
    </row>
    <row r="2" spans="1:13" hidden="1" x14ac:dyDescent="0.2">
      <c r="A2">
        <v>2023</v>
      </c>
      <c r="B2">
        <v>80246</v>
      </c>
      <c r="C2" t="s">
        <v>74</v>
      </c>
      <c r="D2" t="s">
        <v>75</v>
      </c>
      <c r="E2" t="s">
        <v>15</v>
      </c>
      <c r="F2" t="s">
        <v>16</v>
      </c>
      <c r="G2">
        <v>10.9</v>
      </c>
      <c r="H2" s="1">
        <v>13265</v>
      </c>
      <c r="I2" t="s">
        <v>17</v>
      </c>
      <c r="J2">
        <v>80246</v>
      </c>
      <c r="K2" t="s">
        <v>17</v>
      </c>
      <c r="L2" s="3" t="s">
        <v>18</v>
      </c>
      <c r="M2" cm="1">
        <f t="array" ref="M2">_xlfn.IFS(L2="A", 4, L2="B", 3, L2="C", 2, L2="D", 1)</f>
        <v>4</v>
      </c>
    </row>
    <row r="3" spans="1:13" hidden="1" x14ac:dyDescent="0.2">
      <c r="A3">
        <v>2023</v>
      </c>
      <c r="B3">
        <v>80246</v>
      </c>
      <c r="C3" t="s">
        <v>13</v>
      </c>
      <c r="D3" t="s">
        <v>76</v>
      </c>
      <c r="E3" t="s">
        <v>15</v>
      </c>
      <c r="F3" t="s">
        <v>16</v>
      </c>
      <c r="G3">
        <v>14.7</v>
      </c>
      <c r="H3" s="1">
        <v>13265</v>
      </c>
      <c r="I3" t="s">
        <v>17</v>
      </c>
      <c r="J3">
        <v>80246</v>
      </c>
      <c r="K3" t="s">
        <v>17</v>
      </c>
      <c r="L3" s="3" t="s">
        <v>18</v>
      </c>
      <c r="M3" cm="1">
        <f t="array" ref="M3">_xlfn.IFS(L2="A", 4, L2="B", 3, L2="C", 2, L2="D", 1)</f>
        <v>4</v>
      </c>
    </row>
    <row r="4" spans="1:13" hidden="1" x14ac:dyDescent="0.2">
      <c r="A4">
        <v>2023</v>
      </c>
      <c r="B4">
        <v>80246</v>
      </c>
      <c r="C4" t="s">
        <v>77</v>
      </c>
      <c r="D4" t="s">
        <v>78</v>
      </c>
      <c r="E4" t="s">
        <v>15</v>
      </c>
      <c r="F4" t="s">
        <v>16</v>
      </c>
      <c r="G4">
        <v>26.4</v>
      </c>
      <c r="H4" s="1">
        <v>13265</v>
      </c>
      <c r="I4" t="s">
        <v>17</v>
      </c>
      <c r="J4">
        <v>80246</v>
      </c>
      <c r="K4" t="s">
        <v>17</v>
      </c>
      <c r="L4" s="3" t="s">
        <v>18</v>
      </c>
      <c r="M4" cm="1">
        <f t="array" ref="M4">_xlfn.IFS(L3="A", 4, L3="B", 3, L3="C", 2, L3="D", 1)</f>
        <v>4</v>
      </c>
    </row>
    <row r="5" spans="1:13" hidden="1" x14ac:dyDescent="0.2">
      <c r="A5">
        <v>2023</v>
      </c>
      <c r="B5">
        <v>80246</v>
      </c>
      <c r="C5" t="s">
        <v>13</v>
      </c>
      <c r="D5" t="s">
        <v>79</v>
      </c>
      <c r="E5" t="s">
        <v>15</v>
      </c>
      <c r="F5" t="s">
        <v>16</v>
      </c>
      <c r="G5">
        <v>18.100000000000001</v>
      </c>
      <c r="H5" s="1">
        <v>13265</v>
      </c>
      <c r="I5" t="s">
        <v>17</v>
      </c>
      <c r="J5">
        <v>80246</v>
      </c>
      <c r="K5" t="s">
        <v>17</v>
      </c>
      <c r="L5" s="3" t="s">
        <v>18</v>
      </c>
      <c r="M5" cm="1">
        <f t="array" ref="M5">_xlfn.IFS(L4="A", 4, L4="B", 3, L4="C", 2, L4="D", 1)</f>
        <v>4</v>
      </c>
    </row>
    <row r="6" spans="1:13" hidden="1" x14ac:dyDescent="0.2">
      <c r="A6">
        <v>2023</v>
      </c>
      <c r="B6">
        <v>80246</v>
      </c>
      <c r="C6" t="s">
        <v>74</v>
      </c>
      <c r="D6" t="s">
        <v>80</v>
      </c>
      <c r="E6" t="s">
        <v>15</v>
      </c>
      <c r="F6" t="s">
        <v>16</v>
      </c>
      <c r="G6">
        <v>58.6</v>
      </c>
      <c r="H6" s="1">
        <v>13265</v>
      </c>
      <c r="I6" t="s">
        <v>17</v>
      </c>
      <c r="J6">
        <v>80246</v>
      </c>
      <c r="K6" t="s">
        <v>17</v>
      </c>
      <c r="L6" s="3" t="s">
        <v>18</v>
      </c>
      <c r="M6" cm="1">
        <f t="array" ref="M6">_xlfn.IFS(L5="A", 4, L5="B", 3, L5="C", 2, L5="D", 1)</f>
        <v>4</v>
      </c>
    </row>
    <row r="7" spans="1:13" hidden="1" x14ac:dyDescent="0.2">
      <c r="A7">
        <v>2023</v>
      </c>
      <c r="B7">
        <v>80246</v>
      </c>
      <c r="C7" t="s">
        <v>13</v>
      </c>
      <c r="D7" t="s">
        <v>81</v>
      </c>
      <c r="E7" t="s">
        <v>15</v>
      </c>
      <c r="F7" t="s">
        <v>16</v>
      </c>
      <c r="G7">
        <v>5.0999999999999996</v>
      </c>
      <c r="H7" s="1">
        <v>13265</v>
      </c>
      <c r="I7" t="s">
        <v>17</v>
      </c>
      <c r="J7">
        <v>80246</v>
      </c>
      <c r="K7" t="s">
        <v>17</v>
      </c>
      <c r="L7" s="3" t="s">
        <v>18</v>
      </c>
      <c r="M7" cm="1">
        <f t="array" ref="M7">_xlfn.IFS(L6="A", 4, L6="B", 3, L6="C", 2, L6="D", 1)</f>
        <v>4</v>
      </c>
    </row>
    <row r="8" spans="1:13" hidden="1" x14ac:dyDescent="0.2">
      <c r="A8">
        <v>2023</v>
      </c>
      <c r="B8">
        <v>80246</v>
      </c>
      <c r="C8" t="s">
        <v>13</v>
      </c>
      <c r="D8" t="s">
        <v>82</v>
      </c>
      <c r="E8" t="s">
        <v>15</v>
      </c>
      <c r="F8" t="s">
        <v>16</v>
      </c>
      <c r="G8">
        <v>10.5</v>
      </c>
      <c r="H8" s="1">
        <v>13265</v>
      </c>
      <c r="I8" t="s">
        <v>17</v>
      </c>
      <c r="J8">
        <v>80246</v>
      </c>
      <c r="K8" t="s">
        <v>17</v>
      </c>
      <c r="L8" s="3" t="s">
        <v>18</v>
      </c>
      <c r="M8" cm="1">
        <f t="array" ref="M8">_xlfn.IFS(L7="A", 4, L7="B", 3, L7="C", 2, L7="D", 1)</f>
        <v>4</v>
      </c>
    </row>
    <row r="9" spans="1:13" hidden="1" x14ac:dyDescent="0.2">
      <c r="A9">
        <v>2023</v>
      </c>
      <c r="B9">
        <v>80246</v>
      </c>
      <c r="C9" t="s">
        <v>13</v>
      </c>
      <c r="D9" t="s">
        <v>83</v>
      </c>
      <c r="E9" t="s">
        <v>15</v>
      </c>
      <c r="F9" t="s">
        <v>16</v>
      </c>
      <c r="G9">
        <v>3</v>
      </c>
      <c r="H9" s="1">
        <v>13265</v>
      </c>
      <c r="I9" t="s">
        <v>17</v>
      </c>
      <c r="J9">
        <v>80246</v>
      </c>
      <c r="K9" t="s">
        <v>17</v>
      </c>
      <c r="L9" s="3" t="s">
        <v>18</v>
      </c>
      <c r="M9" cm="1">
        <f t="array" ref="M9">_xlfn.IFS(L8="A", 4, L8="B", 3, L8="C", 2, L8="D", 1)</f>
        <v>4</v>
      </c>
    </row>
    <row r="10" spans="1:13" x14ac:dyDescent="0.2">
      <c r="A10">
        <v>2023</v>
      </c>
      <c r="B10">
        <v>80246</v>
      </c>
      <c r="C10" t="s">
        <v>74</v>
      </c>
      <c r="D10" t="s">
        <v>84</v>
      </c>
      <c r="E10" t="s">
        <v>15</v>
      </c>
      <c r="F10" t="s">
        <v>16</v>
      </c>
      <c r="G10">
        <v>66.099999999999994</v>
      </c>
      <c r="H10" s="1">
        <v>13265</v>
      </c>
      <c r="I10" t="s">
        <v>17</v>
      </c>
      <c r="J10">
        <v>80246</v>
      </c>
      <c r="K10" t="s">
        <v>17</v>
      </c>
      <c r="L10" s="3" t="s">
        <v>18</v>
      </c>
      <c r="M10" cm="1">
        <f t="array" ref="M10">_xlfn.IFS(L9="A", 4, L9="B", 3, L9="C", 2, L9="D", 1)</f>
        <v>4</v>
      </c>
    </row>
    <row r="11" spans="1:13" hidden="1" x14ac:dyDescent="0.2">
      <c r="A11">
        <v>2023</v>
      </c>
      <c r="B11">
        <v>80246</v>
      </c>
      <c r="C11" t="s">
        <v>74</v>
      </c>
      <c r="D11" t="s">
        <v>85</v>
      </c>
      <c r="E11" t="s">
        <v>15</v>
      </c>
      <c r="F11" t="s">
        <v>16</v>
      </c>
      <c r="G11">
        <v>81.3</v>
      </c>
      <c r="H11" s="1">
        <v>13265</v>
      </c>
      <c r="I11" t="s">
        <v>17</v>
      </c>
      <c r="J11">
        <v>80246</v>
      </c>
      <c r="K11" t="s">
        <v>17</v>
      </c>
      <c r="L11" s="3" t="s">
        <v>18</v>
      </c>
      <c r="M11" cm="1">
        <f t="array" ref="M11">_xlfn.IFS(L10="A", 4, L10="B", 3, L10="C", 2, L10="D", 1)</f>
        <v>4</v>
      </c>
    </row>
    <row r="12" spans="1:13" hidden="1" x14ac:dyDescent="0.2">
      <c r="A12">
        <v>2023</v>
      </c>
      <c r="B12">
        <v>80246</v>
      </c>
      <c r="C12" t="s">
        <v>86</v>
      </c>
      <c r="D12" t="s">
        <v>87</v>
      </c>
      <c r="E12" t="s">
        <v>15</v>
      </c>
      <c r="F12" t="s">
        <v>16</v>
      </c>
      <c r="G12">
        <v>13.8</v>
      </c>
      <c r="H12" s="1">
        <v>13265</v>
      </c>
      <c r="I12" t="s">
        <v>17</v>
      </c>
      <c r="J12">
        <v>80246</v>
      </c>
      <c r="K12" t="s">
        <v>17</v>
      </c>
      <c r="L12" s="3" t="s">
        <v>18</v>
      </c>
      <c r="M12" cm="1">
        <f t="array" ref="M12">_xlfn.IFS(L11="A", 4, L11="B", 3, L11="C", 2, L11="D", 1)</f>
        <v>4</v>
      </c>
    </row>
    <row r="13" spans="1:13" hidden="1" x14ac:dyDescent="0.2">
      <c r="A13">
        <v>2022</v>
      </c>
      <c r="B13">
        <v>80246</v>
      </c>
      <c r="C13" t="s">
        <v>74</v>
      </c>
      <c r="D13" t="s">
        <v>88</v>
      </c>
      <c r="E13" t="s">
        <v>15</v>
      </c>
      <c r="F13" t="s">
        <v>16</v>
      </c>
      <c r="G13">
        <v>64.3</v>
      </c>
      <c r="H13" s="1">
        <v>13265</v>
      </c>
      <c r="I13" t="s">
        <v>17</v>
      </c>
      <c r="J13">
        <v>80246</v>
      </c>
      <c r="K13" t="s">
        <v>17</v>
      </c>
      <c r="L13" s="3" t="s">
        <v>18</v>
      </c>
      <c r="M13" cm="1">
        <f t="array" ref="M13">_xlfn.IFS(L12="A", 4, L12="B", 3, L12="C", 2, L12="D", 1)</f>
        <v>4</v>
      </c>
    </row>
    <row r="14" spans="1:13" hidden="1" x14ac:dyDescent="0.2">
      <c r="A14">
        <v>2023</v>
      </c>
      <c r="B14">
        <v>80246</v>
      </c>
      <c r="C14" t="s">
        <v>13</v>
      </c>
      <c r="D14" t="s">
        <v>89</v>
      </c>
      <c r="E14" t="s">
        <v>15</v>
      </c>
      <c r="F14" t="s">
        <v>16</v>
      </c>
      <c r="G14">
        <v>3.2</v>
      </c>
      <c r="H14" s="1">
        <v>13265</v>
      </c>
      <c r="I14" t="s">
        <v>17</v>
      </c>
      <c r="J14">
        <v>80246</v>
      </c>
      <c r="K14" t="s">
        <v>17</v>
      </c>
      <c r="L14" s="3" t="s">
        <v>18</v>
      </c>
      <c r="M14" cm="1">
        <f t="array" ref="M14">_xlfn.IFS(L13="A", 4, L13="B", 3, L13="C", 2, L13="D", 1)</f>
        <v>4</v>
      </c>
    </row>
    <row r="15" spans="1:13" hidden="1" x14ac:dyDescent="0.2">
      <c r="A15">
        <v>2023</v>
      </c>
      <c r="B15">
        <v>80246</v>
      </c>
      <c r="C15" t="s">
        <v>77</v>
      </c>
      <c r="D15" t="s">
        <v>90</v>
      </c>
      <c r="E15" t="s">
        <v>15</v>
      </c>
      <c r="F15" t="s">
        <v>16</v>
      </c>
      <c r="G15">
        <v>9</v>
      </c>
      <c r="H15" s="1">
        <v>13265</v>
      </c>
      <c r="I15" t="s">
        <v>17</v>
      </c>
      <c r="J15">
        <v>80246</v>
      </c>
      <c r="K15" t="s">
        <v>17</v>
      </c>
      <c r="L15" s="3" t="s">
        <v>18</v>
      </c>
      <c r="M15" cm="1">
        <f t="array" ref="M15">_xlfn.IFS(L14="A", 4, L14="B", 3, L14="C", 2, L14="D", 1)</f>
        <v>4</v>
      </c>
    </row>
    <row r="16" spans="1:13" hidden="1" x14ac:dyDescent="0.2">
      <c r="A16">
        <v>2022</v>
      </c>
      <c r="B16">
        <v>80246</v>
      </c>
      <c r="C16" t="s">
        <v>74</v>
      </c>
      <c r="D16" t="s">
        <v>91</v>
      </c>
      <c r="E16" t="s">
        <v>15</v>
      </c>
      <c r="F16" t="s">
        <v>16</v>
      </c>
      <c r="G16">
        <v>66.5</v>
      </c>
      <c r="H16" s="1">
        <v>13265</v>
      </c>
      <c r="I16" t="s">
        <v>17</v>
      </c>
      <c r="J16">
        <v>80246</v>
      </c>
      <c r="K16" t="s">
        <v>17</v>
      </c>
      <c r="L16" s="3" t="s">
        <v>18</v>
      </c>
      <c r="M16" cm="1">
        <f t="array" ref="M16">_xlfn.IFS(L15="A", 4, L15="B", 3, L15="C", 2, L15="D", 1)</f>
        <v>4</v>
      </c>
    </row>
    <row r="17" spans="1:16" hidden="1" x14ac:dyDescent="0.2">
      <c r="A17">
        <v>2023</v>
      </c>
      <c r="B17">
        <v>80246</v>
      </c>
      <c r="C17" t="s">
        <v>13</v>
      </c>
      <c r="D17" t="s">
        <v>92</v>
      </c>
      <c r="E17" t="s">
        <v>15</v>
      </c>
      <c r="F17" t="s">
        <v>16</v>
      </c>
      <c r="G17">
        <v>24.5</v>
      </c>
      <c r="H17" s="1">
        <v>13265</v>
      </c>
      <c r="I17" t="s">
        <v>17</v>
      </c>
      <c r="J17">
        <v>80246</v>
      </c>
      <c r="K17" t="s">
        <v>17</v>
      </c>
      <c r="L17" s="3" t="s">
        <v>18</v>
      </c>
      <c r="M17" cm="1">
        <f t="array" ref="M17">_xlfn.IFS(L16="A", 4, L16="B", 3, L16="C", 2, L16="D", 1)</f>
        <v>4</v>
      </c>
    </row>
    <row r="18" spans="1:16" hidden="1" x14ac:dyDescent="0.2">
      <c r="A18">
        <v>2023</v>
      </c>
      <c r="B18">
        <v>80246</v>
      </c>
      <c r="C18" t="s">
        <v>13</v>
      </c>
      <c r="D18" t="s">
        <v>14</v>
      </c>
      <c r="E18" t="s">
        <v>15</v>
      </c>
      <c r="F18" t="s">
        <v>16</v>
      </c>
      <c r="G18">
        <v>5</v>
      </c>
      <c r="H18" s="1">
        <v>13265</v>
      </c>
      <c r="I18" t="s">
        <v>17</v>
      </c>
      <c r="J18">
        <v>80246</v>
      </c>
      <c r="K18" t="s">
        <v>17</v>
      </c>
      <c r="L18" s="3" t="s">
        <v>18</v>
      </c>
      <c r="M18" cm="1">
        <f t="array" ref="M18">_xlfn.IFS(L17="A", 4, L17="B", 3, L17="C", 2, L17="D", 1)</f>
        <v>4</v>
      </c>
    </row>
    <row r="19" spans="1:16" hidden="1" x14ac:dyDescent="0.2">
      <c r="A19">
        <v>2023</v>
      </c>
      <c r="B19">
        <v>80246</v>
      </c>
      <c r="C19" t="s">
        <v>86</v>
      </c>
      <c r="D19" t="s">
        <v>93</v>
      </c>
      <c r="E19" t="s">
        <v>15</v>
      </c>
      <c r="F19" t="s">
        <v>16</v>
      </c>
      <c r="G19">
        <v>22.4</v>
      </c>
      <c r="H19" s="1">
        <v>13265</v>
      </c>
      <c r="I19" t="s">
        <v>17</v>
      </c>
      <c r="J19">
        <v>80246</v>
      </c>
      <c r="K19" t="s">
        <v>17</v>
      </c>
      <c r="L19" s="3" t="s">
        <v>18</v>
      </c>
      <c r="M19" cm="1">
        <f t="array" ref="M19">_xlfn.IFS(L18="A", 4, L18="B", 3, L18="C", 2, L18="D", 1)</f>
        <v>4</v>
      </c>
    </row>
    <row r="20" spans="1:16" hidden="1" x14ac:dyDescent="0.2">
      <c r="A20">
        <v>2023</v>
      </c>
      <c r="B20">
        <v>80246</v>
      </c>
      <c r="C20" t="s">
        <v>94</v>
      </c>
      <c r="D20" t="s">
        <v>95</v>
      </c>
      <c r="E20" t="s">
        <v>15</v>
      </c>
      <c r="F20" t="s">
        <v>16</v>
      </c>
      <c r="G20">
        <v>11.8</v>
      </c>
      <c r="H20" s="1">
        <v>13265</v>
      </c>
      <c r="I20" t="s">
        <v>17</v>
      </c>
      <c r="J20">
        <v>80246</v>
      </c>
      <c r="K20" t="s">
        <v>17</v>
      </c>
      <c r="L20" s="3" t="s">
        <v>18</v>
      </c>
      <c r="M20" cm="1">
        <f t="array" ref="M20">_xlfn.IFS(L19="A", 4, L19="B", 3, L19="C", 2, L19="D", 1)</f>
        <v>4</v>
      </c>
    </row>
    <row r="21" spans="1:16" hidden="1" x14ac:dyDescent="0.2">
      <c r="A21">
        <v>2023</v>
      </c>
      <c r="B21">
        <v>80246</v>
      </c>
      <c r="C21" t="s">
        <v>86</v>
      </c>
      <c r="D21" t="s">
        <v>96</v>
      </c>
      <c r="E21" t="s">
        <v>15</v>
      </c>
      <c r="F21" t="s">
        <v>16</v>
      </c>
      <c r="G21">
        <v>4.2</v>
      </c>
      <c r="H21" s="1">
        <v>13265</v>
      </c>
      <c r="I21" t="s">
        <v>17</v>
      </c>
      <c r="J21">
        <v>80246</v>
      </c>
      <c r="K21" t="s">
        <v>17</v>
      </c>
      <c r="L21" s="3" t="s">
        <v>18</v>
      </c>
      <c r="M21" cm="1">
        <f t="array" ref="M21">_xlfn.IFS(L20="A", 4, L20="B", 3, L20="C", 2, L20="D", 1)</f>
        <v>4</v>
      </c>
    </row>
    <row r="22" spans="1:16" hidden="1" x14ac:dyDescent="0.2">
      <c r="A22">
        <v>2023</v>
      </c>
      <c r="B22">
        <v>80246</v>
      </c>
      <c r="C22" t="s">
        <v>13</v>
      </c>
      <c r="D22" t="s">
        <v>97</v>
      </c>
      <c r="E22" t="s">
        <v>15</v>
      </c>
      <c r="F22" t="s">
        <v>16</v>
      </c>
      <c r="G22">
        <v>24.2</v>
      </c>
      <c r="H22" s="1">
        <v>13265</v>
      </c>
      <c r="I22" t="s">
        <v>17</v>
      </c>
      <c r="J22">
        <v>80246</v>
      </c>
      <c r="K22" t="s">
        <v>17</v>
      </c>
      <c r="L22" s="3" t="s">
        <v>18</v>
      </c>
      <c r="M22" cm="1">
        <f t="array" ref="M22">_xlfn.IFS(L21="A", 4, L21="B", 3, L21="C", 2, L21="D", 1)</f>
        <v>4</v>
      </c>
    </row>
    <row r="23" spans="1:16" hidden="1" x14ac:dyDescent="0.2">
      <c r="A23">
        <v>2023</v>
      </c>
      <c r="B23">
        <v>80246</v>
      </c>
      <c r="C23" t="s">
        <v>86</v>
      </c>
      <c r="D23" t="s">
        <v>98</v>
      </c>
      <c r="E23" t="s">
        <v>15</v>
      </c>
      <c r="F23" t="s">
        <v>16</v>
      </c>
      <c r="G23">
        <v>5.8</v>
      </c>
      <c r="H23" s="1">
        <v>13265</v>
      </c>
      <c r="I23" t="s">
        <v>17</v>
      </c>
      <c r="J23">
        <v>80246</v>
      </c>
      <c r="K23" t="s">
        <v>17</v>
      </c>
      <c r="L23" s="3" t="s">
        <v>18</v>
      </c>
      <c r="M23" cm="1">
        <f t="array" ref="M23">_xlfn.IFS(L22="A", 4, L22="B", 3, L22="C", 2, L22="D", 1)</f>
        <v>4</v>
      </c>
    </row>
    <row r="24" spans="1:16" hidden="1" x14ac:dyDescent="0.2">
      <c r="A24">
        <v>2023</v>
      </c>
      <c r="B24">
        <v>80246</v>
      </c>
      <c r="C24" t="s">
        <v>77</v>
      </c>
      <c r="D24" t="s">
        <v>99</v>
      </c>
      <c r="E24" t="s">
        <v>15</v>
      </c>
      <c r="F24" t="s">
        <v>16</v>
      </c>
      <c r="G24">
        <v>14.1</v>
      </c>
      <c r="H24" s="1">
        <v>13265</v>
      </c>
      <c r="I24" t="s">
        <v>17</v>
      </c>
      <c r="J24">
        <v>80246</v>
      </c>
      <c r="K24" t="s">
        <v>17</v>
      </c>
      <c r="L24" s="3" t="s">
        <v>18</v>
      </c>
      <c r="M24" cm="1">
        <f t="array" ref="M24">_xlfn.IFS(L23="A", 4, L23="B", 3, L23="C", 2, L23="D", 1)</f>
        <v>4</v>
      </c>
    </row>
    <row r="25" spans="1:16" hidden="1" x14ac:dyDescent="0.2">
      <c r="A25">
        <v>2022</v>
      </c>
      <c r="B25">
        <v>80246</v>
      </c>
      <c r="C25" t="s">
        <v>74</v>
      </c>
      <c r="D25" t="s">
        <v>100</v>
      </c>
      <c r="E25" t="s">
        <v>15</v>
      </c>
      <c r="F25" t="s">
        <v>16</v>
      </c>
      <c r="G25">
        <v>74.3</v>
      </c>
      <c r="H25" s="1">
        <v>13265</v>
      </c>
      <c r="I25" t="s">
        <v>17</v>
      </c>
      <c r="J25">
        <v>80246</v>
      </c>
      <c r="K25" t="s">
        <v>17</v>
      </c>
      <c r="L25" s="3" t="s">
        <v>18</v>
      </c>
      <c r="M25" cm="1">
        <f t="array" ref="M25">_xlfn.IFS(L24="A", 4, L24="B", 3, L24="C", 2, L24="D", 1)</f>
        <v>4</v>
      </c>
    </row>
    <row r="26" spans="1:16" hidden="1" x14ac:dyDescent="0.2">
      <c r="A26">
        <v>2023</v>
      </c>
      <c r="B26">
        <v>80246</v>
      </c>
      <c r="C26" t="s">
        <v>94</v>
      </c>
      <c r="D26" t="s">
        <v>101</v>
      </c>
      <c r="E26" t="s">
        <v>15</v>
      </c>
      <c r="F26" t="s">
        <v>16</v>
      </c>
      <c r="G26">
        <v>16.8</v>
      </c>
      <c r="H26" s="1">
        <v>13265</v>
      </c>
      <c r="I26" t="s">
        <v>17</v>
      </c>
      <c r="J26">
        <v>80246</v>
      </c>
      <c r="K26" t="s">
        <v>17</v>
      </c>
      <c r="L26" s="3" t="s">
        <v>18</v>
      </c>
      <c r="M26" cm="1">
        <f t="array" ref="M26">_xlfn.IFS(L25="A", 4, L25="B", 3, L25="C", 2, L25="D", 1)</f>
        <v>4</v>
      </c>
    </row>
    <row r="27" spans="1:16" hidden="1" x14ac:dyDescent="0.2">
      <c r="A27">
        <v>2023</v>
      </c>
      <c r="B27">
        <v>80246</v>
      </c>
      <c r="C27" t="s">
        <v>86</v>
      </c>
      <c r="D27" t="s">
        <v>102</v>
      </c>
      <c r="E27" t="s">
        <v>15</v>
      </c>
      <c r="F27" t="s">
        <v>16</v>
      </c>
      <c r="G27">
        <v>6.1</v>
      </c>
      <c r="H27" s="1">
        <v>13265</v>
      </c>
      <c r="I27" t="s">
        <v>17</v>
      </c>
      <c r="J27">
        <v>80246</v>
      </c>
      <c r="K27" t="s">
        <v>17</v>
      </c>
      <c r="L27" s="3" t="s">
        <v>18</v>
      </c>
      <c r="M27" cm="1">
        <f t="array" ref="M27">_xlfn.IFS(L26="A", 4, L26="B", 3, L26="C", 2, L26="D", 1)</f>
        <v>4</v>
      </c>
      <c r="P27" t="s">
        <v>112</v>
      </c>
    </row>
    <row r="28" spans="1:16" hidden="1" x14ac:dyDescent="0.2">
      <c r="A28">
        <v>2023</v>
      </c>
      <c r="B28">
        <v>80246</v>
      </c>
      <c r="C28" t="s">
        <v>13</v>
      </c>
      <c r="D28" t="s">
        <v>103</v>
      </c>
      <c r="E28" t="s">
        <v>15</v>
      </c>
      <c r="F28" t="s">
        <v>16</v>
      </c>
      <c r="G28">
        <v>21.7</v>
      </c>
      <c r="H28" s="1">
        <v>13265</v>
      </c>
      <c r="I28" t="s">
        <v>17</v>
      </c>
      <c r="J28">
        <v>80246</v>
      </c>
      <c r="K28" t="s">
        <v>17</v>
      </c>
      <c r="L28" s="3" t="s">
        <v>18</v>
      </c>
      <c r="M28" cm="1">
        <f t="array" ref="M28">_xlfn.IFS(L27="A", 4, L27="B", 3, L27="C", 2, L27="D", 1)</f>
        <v>4</v>
      </c>
      <c r="P28" t="s">
        <v>113</v>
      </c>
    </row>
    <row r="29" spans="1:16" hidden="1" x14ac:dyDescent="0.2">
      <c r="A29">
        <v>2023</v>
      </c>
      <c r="B29">
        <v>80246</v>
      </c>
      <c r="C29" t="s">
        <v>94</v>
      </c>
      <c r="D29" t="s">
        <v>104</v>
      </c>
      <c r="E29" t="s">
        <v>15</v>
      </c>
      <c r="F29" t="s">
        <v>16</v>
      </c>
      <c r="G29">
        <v>9.1999999999999993</v>
      </c>
      <c r="H29" s="1">
        <v>13265</v>
      </c>
      <c r="I29" t="s">
        <v>17</v>
      </c>
      <c r="J29">
        <v>80246</v>
      </c>
      <c r="K29" t="s">
        <v>17</v>
      </c>
      <c r="L29" s="3" t="s">
        <v>18</v>
      </c>
      <c r="M29" cm="1">
        <f t="array" ref="M29">_xlfn.IFS(L28="A", 4, L28="B", 3, L28="C", 2, L28="D", 1)</f>
        <v>4</v>
      </c>
      <c r="P29" t="s">
        <v>114</v>
      </c>
    </row>
    <row r="30" spans="1:16" hidden="1" x14ac:dyDescent="0.2">
      <c r="A30">
        <v>2023</v>
      </c>
      <c r="B30">
        <v>80246</v>
      </c>
      <c r="C30" t="s">
        <v>86</v>
      </c>
      <c r="D30" t="s">
        <v>105</v>
      </c>
      <c r="E30" t="s">
        <v>15</v>
      </c>
      <c r="F30" t="s">
        <v>16</v>
      </c>
      <c r="G30">
        <v>2</v>
      </c>
      <c r="H30" s="1">
        <v>13265</v>
      </c>
      <c r="I30" t="s">
        <v>17</v>
      </c>
      <c r="J30">
        <v>80246</v>
      </c>
      <c r="K30" t="s">
        <v>17</v>
      </c>
      <c r="L30" s="3" t="s">
        <v>18</v>
      </c>
      <c r="M30" cm="1">
        <f t="array" ref="M30">_xlfn.IFS(L29="A", 4, L29="B", 3, L29="C", 2, L29="D", 1)</f>
        <v>4</v>
      </c>
      <c r="P30" t="s">
        <v>115</v>
      </c>
    </row>
    <row r="31" spans="1:16" hidden="1" x14ac:dyDescent="0.2">
      <c r="A31">
        <v>2022</v>
      </c>
      <c r="B31">
        <v>80246</v>
      </c>
      <c r="C31" t="s">
        <v>77</v>
      </c>
      <c r="D31" t="s">
        <v>106</v>
      </c>
      <c r="E31" t="s">
        <v>15</v>
      </c>
      <c r="F31" t="s">
        <v>16</v>
      </c>
      <c r="G31">
        <v>29.2</v>
      </c>
      <c r="H31" s="1">
        <v>13265</v>
      </c>
      <c r="I31" t="s">
        <v>17</v>
      </c>
      <c r="J31">
        <v>80246</v>
      </c>
      <c r="K31" t="s">
        <v>17</v>
      </c>
      <c r="L31" s="3" t="s">
        <v>18</v>
      </c>
      <c r="M31" cm="1">
        <f t="array" ref="M31">_xlfn.IFS(L30="A", 4, L30="B", 3, L30="C", 2, L30="D", 1)</f>
        <v>4</v>
      </c>
    </row>
    <row r="32" spans="1:16" hidden="1" x14ac:dyDescent="0.2">
      <c r="A32">
        <v>2023</v>
      </c>
      <c r="B32">
        <v>80246</v>
      </c>
      <c r="C32" t="s">
        <v>13</v>
      </c>
      <c r="D32" t="s">
        <v>107</v>
      </c>
      <c r="E32" t="s">
        <v>15</v>
      </c>
      <c r="F32" t="s">
        <v>16</v>
      </c>
      <c r="G32">
        <v>1.6</v>
      </c>
      <c r="H32" s="1">
        <v>13265</v>
      </c>
      <c r="I32" t="s">
        <v>17</v>
      </c>
      <c r="J32">
        <v>80246</v>
      </c>
      <c r="K32" t="s">
        <v>17</v>
      </c>
      <c r="L32" s="3" t="s">
        <v>18</v>
      </c>
      <c r="M32" cm="1">
        <f t="array" ref="M32">_xlfn.IFS(L31="A", 4, L31="B", 3, L31="C", 2, L31="D", 1)</f>
        <v>4</v>
      </c>
    </row>
    <row r="33" spans="1:13" hidden="1" x14ac:dyDescent="0.2">
      <c r="A33">
        <v>2022</v>
      </c>
      <c r="B33">
        <v>80246</v>
      </c>
      <c r="C33" t="s">
        <v>13</v>
      </c>
      <c r="D33" t="s">
        <v>108</v>
      </c>
      <c r="E33" t="s">
        <v>15</v>
      </c>
      <c r="F33" t="s">
        <v>16</v>
      </c>
      <c r="G33">
        <v>5.9</v>
      </c>
      <c r="H33" s="1">
        <v>13265</v>
      </c>
      <c r="I33" t="s">
        <v>17</v>
      </c>
      <c r="J33">
        <v>80246</v>
      </c>
      <c r="K33" t="s">
        <v>17</v>
      </c>
      <c r="L33" s="3" t="s">
        <v>18</v>
      </c>
      <c r="M33" cm="1">
        <f t="array" ref="M33">_xlfn.IFS(L32="A", 4, L32="B", 3, L32="C", 2, L32="D", 1)</f>
        <v>4</v>
      </c>
    </row>
    <row r="34" spans="1:13" hidden="1" x14ac:dyDescent="0.2">
      <c r="A34">
        <v>2023</v>
      </c>
      <c r="B34">
        <v>80246</v>
      </c>
      <c r="C34" t="s">
        <v>86</v>
      </c>
      <c r="D34" t="s">
        <v>109</v>
      </c>
      <c r="E34" t="s">
        <v>15</v>
      </c>
      <c r="F34" t="s">
        <v>16</v>
      </c>
      <c r="G34">
        <v>3.3</v>
      </c>
      <c r="H34" s="1">
        <v>13265</v>
      </c>
      <c r="I34" t="s">
        <v>17</v>
      </c>
      <c r="J34">
        <v>80246</v>
      </c>
      <c r="K34" t="s">
        <v>17</v>
      </c>
      <c r="L34" s="3" t="s">
        <v>18</v>
      </c>
      <c r="M34" cm="1">
        <f t="array" ref="M34">_xlfn.IFS(L33="A", 4, L33="B", 3, L33="C", 2, L33="D", 1)</f>
        <v>4</v>
      </c>
    </row>
    <row r="35" spans="1:13" hidden="1" x14ac:dyDescent="0.2">
      <c r="A35">
        <v>2023</v>
      </c>
      <c r="B35">
        <v>80204</v>
      </c>
      <c r="C35" t="s">
        <v>74</v>
      </c>
      <c r="D35" t="s">
        <v>75</v>
      </c>
      <c r="E35" t="s">
        <v>15</v>
      </c>
      <c r="F35" t="s">
        <v>16</v>
      </c>
      <c r="G35">
        <v>17.100000000000001</v>
      </c>
      <c r="H35" s="1">
        <v>35269</v>
      </c>
      <c r="I35" t="s">
        <v>19</v>
      </c>
      <c r="J35">
        <v>80204</v>
      </c>
      <c r="K35" t="s">
        <v>19</v>
      </c>
      <c r="L35" s="3" t="s">
        <v>20</v>
      </c>
      <c r="M35" cm="1">
        <f t="array" ref="M35">_xlfn.IFS(L34="A", 4, L34="B", 3, L34="C", 2, L34="D", 1)</f>
        <v>4</v>
      </c>
    </row>
    <row r="36" spans="1:13" hidden="1" x14ac:dyDescent="0.2">
      <c r="A36">
        <v>2023</v>
      </c>
      <c r="B36">
        <v>80204</v>
      </c>
      <c r="C36" t="s">
        <v>74</v>
      </c>
      <c r="D36" t="s">
        <v>75</v>
      </c>
      <c r="E36" t="s">
        <v>15</v>
      </c>
      <c r="F36" t="s">
        <v>16</v>
      </c>
      <c r="G36">
        <v>17.100000000000001</v>
      </c>
      <c r="H36" s="1">
        <v>35269</v>
      </c>
      <c r="I36" t="s">
        <v>19</v>
      </c>
      <c r="J36">
        <v>80204</v>
      </c>
      <c r="K36" t="s">
        <v>19</v>
      </c>
      <c r="L36" s="3" t="s">
        <v>21</v>
      </c>
      <c r="M36" cm="1">
        <f t="array" ref="M36">_xlfn.IFS(L35="A", 4, L35="B", 3, L35="C", 2, L35="D", 1)</f>
        <v>3</v>
      </c>
    </row>
    <row r="37" spans="1:13" hidden="1" x14ac:dyDescent="0.2">
      <c r="A37">
        <v>2023</v>
      </c>
      <c r="B37">
        <v>80204</v>
      </c>
      <c r="C37" t="s">
        <v>74</v>
      </c>
      <c r="D37" t="s">
        <v>75</v>
      </c>
      <c r="E37" t="s">
        <v>15</v>
      </c>
      <c r="F37" t="s">
        <v>16</v>
      </c>
      <c r="G37">
        <v>17.100000000000001</v>
      </c>
      <c r="H37" s="1">
        <v>35269</v>
      </c>
      <c r="I37" t="s">
        <v>22</v>
      </c>
      <c r="J37">
        <v>80204</v>
      </c>
      <c r="K37" t="s">
        <v>22</v>
      </c>
      <c r="L37" s="3" t="s">
        <v>23</v>
      </c>
      <c r="M37" cm="1">
        <f t="array" ref="M37">_xlfn.IFS(L36="A", 4, L36="B", 3, L36="C", 2, L36="D", 1)</f>
        <v>2</v>
      </c>
    </row>
    <row r="38" spans="1:13" hidden="1" x14ac:dyDescent="0.2">
      <c r="A38">
        <v>2023</v>
      </c>
      <c r="B38">
        <v>80204</v>
      </c>
      <c r="C38" t="s">
        <v>74</v>
      </c>
      <c r="D38" t="s">
        <v>75</v>
      </c>
      <c r="E38" t="s">
        <v>15</v>
      </c>
      <c r="F38" t="s">
        <v>16</v>
      </c>
      <c r="G38">
        <v>17.100000000000001</v>
      </c>
      <c r="H38" s="1">
        <v>35269</v>
      </c>
      <c r="I38" t="s">
        <v>24</v>
      </c>
      <c r="J38">
        <v>80204</v>
      </c>
      <c r="K38" t="s">
        <v>24</v>
      </c>
      <c r="L38" s="3" t="s">
        <v>23</v>
      </c>
      <c r="M38" cm="1">
        <f t="array" ref="M38">_xlfn.IFS(L37="A", 4, L37="B", 3, L37="C", 2, L37="D", 1)</f>
        <v>1</v>
      </c>
    </row>
    <row r="39" spans="1:13" hidden="1" x14ac:dyDescent="0.2">
      <c r="A39">
        <v>2023</v>
      </c>
      <c r="B39">
        <v>80204</v>
      </c>
      <c r="C39" t="s">
        <v>74</v>
      </c>
      <c r="D39" t="s">
        <v>75</v>
      </c>
      <c r="E39" t="s">
        <v>15</v>
      </c>
      <c r="F39" t="s">
        <v>16</v>
      </c>
      <c r="G39">
        <v>17.100000000000001</v>
      </c>
      <c r="H39" s="1">
        <v>35269</v>
      </c>
      <c r="I39" t="s">
        <v>25</v>
      </c>
      <c r="J39">
        <v>80204</v>
      </c>
      <c r="K39" t="s">
        <v>25</v>
      </c>
      <c r="L39" s="3" t="s">
        <v>23</v>
      </c>
      <c r="M39" cm="1">
        <f t="array" ref="M39">_xlfn.IFS(L38="A", 4, L38="B", 3, L38="C", 2, L38="D", 1)</f>
        <v>1</v>
      </c>
    </row>
    <row r="40" spans="1:13" hidden="1" x14ac:dyDescent="0.2">
      <c r="A40">
        <v>2023</v>
      </c>
      <c r="B40">
        <v>80204</v>
      </c>
      <c r="C40" t="s">
        <v>74</v>
      </c>
      <c r="D40" t="s">
        <v>75</v>
      </c>
      <c r="E40" t="s">
        <v>15</v>
      </c>
      <c r="F40" t="s">
        <v>16</v>
      </c>
      <c r="G40">
        <v>17.100000000000001</v>
      </c>
      <c r="H40" s="1">
        <v>35269</v>
      </c>
      <c r="I40" t="s">
        <v>26</v>
      </c>
      <c r="J40">
        <v>80204</v>
      </c>
      <c r="K40" t="s">
        <v>26</v>
      </c>
      <c r="L40" s="3" t="s">
        <v>21</v>
      </c>
      <c r="M40" cm="1">
        <f t="array" ref="M40">_xlfn.IFS(L39="A", 4, L39="B", 3, L39="C", 2, L39="D", 1)</f>
        <v>1</v>
      </c>
    </row>
    <row r="41" spans="1:13" hidden="1" x14ac:dyDescent="0.2">
      <c r="A41">
        <v>2023</v>
      </c>
      <c r="B41">
        <v>80204</v>
      </c>
      <c r="C41" t="s">
        <v>13</v>
      </c>
      <c r="D41" t="s">
        <v>76</v>
      </c>
      <c r="E41" t="s">
        <v>15</v>
      </c>
      <c r="F41" t="s">
        <v>16</v>
      </c>
      <c r="G41">
        <v>15.9</v>
      </c>
      <c r="H41" s="1">
        <v>35269</v>
      </c>
      <c r="I41" t="s">
        <v>19</v>
      </c>
      <c r="J41">
        <v>80204</v>
      </c>
      <c r="K41" t="s">
        <v>19</v>
      </c>
      <c r="L41" s="3" t="s">
        <v>20</v>
      </c>
      <c r="M41" cm="1">
        <f t="array" ref="M41">_xlfn.IFS(L40="A", 4, L40="B", 3, L40="C", 2, L40="D", 1)</f>
        <v>2</v>
      </c>
    </row>
    <row r="42" spans="1:13" hidden="1" x14ac:dyDescent="0.2">
      <c r="A42">
        <v>2023</v>
      </c>
      <c r="B42">
        <v>80204</v>
      </c>
      <c r="C42" t="s">
        <v>13</v>
      </c>
      <c r="D42" t="s">
        <v>76</v>
      </c>
      <c r="E42" t="s">
        <v>15</v>
      </c>
      <c r="F42" t="s">
        <v>16</v>
      </c>
      <c r="G42">
        <v>15.9</v>
      </c>
      <c r="H42" s="1">
        <v>35269</v>
      </c>
      <c r="I42" t="s">
        <v>19</v>
      </c>
      <c r="J42">
        <v>80204</v>
      </c>
      <c r="K42" t="s">
        <v>19</v>
      </c>
      <c r="L42" s="3" t="s">
        <v>21</v>
      </c>
      <c r="M42" cm="1">
        <f t="array" ref="M42">_xlfn.IFS(L41="A", 4, L41="B", 3, L41="C", 2, L41="D", 1)</f>
        <v>3</v>
      </c>
    </row>
    <row r="43" spans="1:13" hidden="1" x14ac:dyDescent="0.2">
      <c r="A43">
        <v>2023</v>
      </c>
      <c r="B43">
        <v>80204</v>
      </c>
      <c r="C43" t="s">
        <v>13</v>
      </c>
      <c r="D43" t="s">
        <v>76</v>
      </c>
      <c r="E43" t="s">
        <v>15</v>
      </c>
      <c r="F43" t="s">
        <v>16</v>
      </c>
      <c r="G43">
        <v>15.9</v>
      </c>
      <c r="H43" s="1">
        <v>35269</v>
      </c>
      <c r="I43" t="s">
        <v>22</v>
      </c>
      <c r="J43">
        <v>80204</v>
      </c>
      <c r="K43" t="s">
        <v>22</v>
      </c>
      <c r="L43" s="3" t="s">
        <v>23</v>
      </c>
      <c r="M43" cm="1">
        <f t="array" ref="M43">_xlfn.IFS(L42="A", 4, L42="B", 3, L42="C", 2, L42="D", 1)</f>
        <v>2</v>
      </c>
    </row>
    <row r="44" spans="1:13" hidden="1" x14ac:dyDescent="0.2">
      <c r="A44">
        <v>2023</v>
      </c>
      <c r="B44">
        <v>80204</v>
      </c>
      <c r="C44" t="s">
        <v>13</v>
      </c>
      <c r="D44" t="s">
        <v>76</v>
      </c>
      <c r="E44" t="s">
        <v>15</v>
      </c>
      <c r="F44" t="s">
        <v>16</v>
      </c>
      <c r="G44">
        <v>15.9</v>
      </c>
      <c r="H44" s="1">
        <v>35269</v>
      </c>
      <c r="I44" t="s">
        <v>24</v>
      </c>
      <c r="J44">
        <v>80204</v>
      </c>
      <c r="K44" t="s">
        <v>24</v>
      </c>
      <c r="L44" s="3" t="s">
        <v>23</v>
      </c>
      <c r="M44" cm="1">
        <f t="array" ref="M44">_xlfn.IFS(L43="A", 4, L43="B", 3, L43="C", 2, L43="D", 1)</f>
        <v>1</v>
      </c>
    </row>
    <row r="45" spans="1:13" hidden="1" x14ac:dyDescent="0.2">
      <c r="A45">
        <v>2023</v>
      </c>
      <c r="B45">
        <v>80204</v>
      </c>
      <c r="C45" t="s">
        <v>13</v>
      </c>
      <c r="D45" t="s">
        <v>76</v>
      </c>
      <c r="E45" t="s">
        <v>15</v>
      </c>
      <c r="F45" t="s">
        <v>16</v>
      </c>
      <c r="G45">
        <v>15.9</v>
      </c>
      <c r="H45" s="1">
        <v>35269</v>
      </c>
      <c r="I45" t="s">
        <v>25</v>
      </c>
      <c r="J45">
        <v>80204</v>
      </c>
      <c r="K45" t="s">
        <v>25</v>
      </c>
      <c r="L45" s="3" t="s">
        <v>23</v>
      </c>
      <c r="M45" cm="1">
        <f t="array" ref="M45">_xlfn.IFS(L44="A", 4, L44="B", 3, L44="C", 2, L44="D", 1)</f>
        <v>1</v>
      </c>
    </row>
    <row r="46" spans="1:13" hidden="1" x14ac:dyDescent="0.2">
      <c r="A46">
        <v>2023</v>
      </c>
      <c r="B46">
        <v>80204</v>
      </c>
      <c r="C46" t="s">
        <v>13</v>
      </c>
      <c r="D46" t="s">
        <v>76</v>
      </c>
      <c r="E46" t="s">
        <v>15</v>
      </c>
      <c r="F46" t="s">
        <v>16</v>
      </c>
      <c r="G46">
        <v>15.9</v>
      </c>
      <c r="H46" s="1">
        <v>35269</v>
      </c>
      <c r="I46" t="s">
        <v>26</v>
      </c>
      <c r="J46">
        <v>80204</v>
      </c>
      <c r="K46" t="s">
        <v>26</v>
      </c>
      <c r="L46" s="3" t="s">
        <v>21</v>
      </c>
      <c r="M46" cm="1">
        <f t="array" ref="M46">_xlfn.IFS(L45="A", 4, L45="B", 3, L45="C", 2, L45="D", 1)</f>
        <v>1</v>
      </c>
    </row>
    <row r="47" spans="1:13" hidden="1" x14ac:dyDescent="0.2">
      <c r="A47">
        <v>2023</v>
      </c>
      <c r="B47">
        <v>80204</v>
      </c>
      <c r="C47" t="s">
        <v>77</v>
      </c>
      <c r="D47" t="s">
        <v>78</v>
      </c>
      <c r="E47" t="s">
        <v>15</v>
      </c>
      <c r="F47" t="s">
        <v>16</v>
      </c>
      <c r="G47">
        <v>26.7</v>
      </c>
      <c r="H47" s="1">
        <v>35269</v>
      </c>
      <c r="I47" t="s">
        <v>19</v>
      </c>
      <c r="J47">
        <v>80204</v>
      </c>
      <c r="K47" t="s">
        <v>19</v>
      </c>
      <c r="L47" s="3" t="s">
        <v>20</v>
      </c>
      <c r="M47" cm="1">
        <f t="array" ref="M47">_xlfn.IFS(L46="A", 4, L46="B", 3, L46="C", 2, L46="D", 1)</f>
        <v>2</v>
      </c>
    </row>
    <row r="48" spans="1:13" hidden="1" x14ac:dyDescent="0.2">
      <c r="A48">
        <v>2023</v>
      </c>
      <c r="B48">
        <v>80204</v>
      </c>
      <c r="C48" t="s">
        <v>77</v>
      </c>
      <c r="D48" t="s">
        <v>78</v>
      </c>
      <c r="E48" t="s">
        <v>15</v>
      </c>
      <c r="F48" t="s">
        <v>16</v>
      </c>
      <c r="G48">
        <v>26.7</v>
      </c>
      <c r="H48" s="1">
        <v>35269</v>
      </c>
      <c r="I48" t="s">
        <v>19</v>
      </c>
      <c r="J48">
        <v>80204</v>
      </c>
      <c r="K48" t="s">
        <v>19</v>
      </c>
      <c r="L48" s="3" t="s">
        <v>21</v>
      </c>
      <c r="M48" cm="1">
        <f t="array" ref="M48">_xlfn.IFS(L47="A", 4, L47="B", 3, L47="C", 2, L47="D", 1)</f>
        <v>3</v>
      </c>
    </row>
    <row r="49" spans="1:13" hidden="1" x14ac:dyDescent="0.2">
      <c r="A49">
        <v>2023</v>
      </c>
      <c r="B49">
        <v>80204</v>
      </c>
      <c r="C49" t="s">
        <v>77</v>
      </c>
      <c r="D49" t="s">
        <v>78</v>
      </c>
      <c r="E49" t="s">
        <v>15</v>
      </c>
      <c r="F49" t="s">
        <v>16</v>
      </c>
      <c r="G49">
        <v>26.7</v>
      </c>
      <c r="H49" s="1">
        <v>35269</v>
      </c>
      <c r="I49" t="s">
        <v>22</v>
      </c>
      <c r="J49">
        <v>80204</v>
      </c>
      <c r="K49" t="s">
        <v>22</v>
      </c>
      <c r="L49" s="3" t="s">
        <v>23</v>
      </c>
      <c r="M49" cm="1">
        <f t="array" ref="M49">_xlfn.IFS(L48="A", 4, L48="B", 3, L48="C", 2, L48="D", 1)</f>
        <v>2</v>
      </c>
    </row>
    <row r="50" spans="1:13" hidden="1" x14ac:dyDescent="0.2">
      <c r="A50">
        <v>2023</v>
      </c>
      <c r="B50">
        <v>80204</v>
      </c>
      <c r="C50" t="s">
        <v>77</v>
      </c>
      <c r="D50" t="s">
        <v>78</v>
      </c>
      <c r="E50" t="s">
        <v>15</v>
      </c>
      <c r="F50" t="s">
        <v>16</v>
      </c>
      <c r="G50">
        <v>26.7</v>
      </c>
      <c r="H50" s="1">
        <v>35269</v>
      </c>
      <c r="I50" t="s">
        <v>24</v>
      </c>
      <c r="J50">
        <v>80204</v>
      </c>
      <c r="K50" t="s">
        <v>24</v>
      </c>
      <c r="L50" s="3" t="s">
        <v>23</v>
      </c>
      <c r="M50" cm="1">
        <f t="array" ref="M50">_xlfn.IFS(L49="A", 4, L49="B", 3, L49="C", 2, L49="D", 1)</f>
        <v>1</v>
      </c>
    </row>
    <row r="51" spans="1:13" hidden="1" x14ac:dyDescent="0.2">
      <c r="A51">
        <v>2023</v>
      </c>
      <c r="B51">
        <v>80204</v>
      </c>
      <c r="C51" t="s">
        <v>77</v>
      </c>
      <c r="D51" t="s">
        <v>78</v>
      </c>
      <c r="E51" t="s">
        <v>15</v>
      </c>
      <c r="F51" t="s">
        <v>16</v>
      </c>
      <c r="G51">
        <v>26.7</v>
      </c>
      <c r="H51" s="1">
        <v>35269</v>
      </c>
      <c r="I51" t="s">
        <v>25</v>
      </c>
      <c r="J51">
        <v>80204</v>
      </c>
      <c r="K51" t="s">
        <v>25</v>
      </c>
      <c r="L51" s="3" t="s">
        <v>23</v>
      </c>
      <c r="M51" cm="1">
        <f t="array" ref="M51">_xlfn.IFS(L50="A", 4, L50="B", 3, L50="C", 2, L50="D", 1)</f>
        <v>1</v>
      </c>
    </row>
    <row r="52" spans="1:13" hidden="1" x14ac:dyDescent="0.2">
      <c r="A52">
        <v>2023</v>
      </c>
      <c r="B52">
        <v>80204</v>
      </c>
      <c r="C52" t="s">
        <v>77</v>
      </c>
      <c r="D52" t="s">
        <v>78</v>
      </c>
      <c r="E52" t="s">
        <v>15</v>
      </c>
      <c r="F52" t="s">
        <v>16</v>
      </c>
      <c r="G52">
        <v>26.7</v>
      </c>
      <c r="H52" s="1">
        <v>35269</v>
      </c>
      <c r="I52" t="s">
        <v>26</v>
      </c>
      <c r="J52">
        <v>80204</v>
      </c>
      <c r="K52" t="s">
        <v>26</v>
      </c>
      <c r="L52" s="3" t="s">
        <v>21</v>
      </c>
      <c r="M52" cm="1">
        <f t="array" ref="M52">_xlfn.IFS(L51="A", 4, L51="B", 3, L51="C", 2, L51="D", 1)</f>
        <v>1</v>
      </c>
    </row>
    <row r="53" spans="1:13" hidden="1" x14ac:dyDescent="0.2">
      <c r="A53">
        <v>2023</v>
      </c>
      <c r="B53">
        <v>80204</v>
      </c>
      <c r="C53" t="s">
        <v>13</v>
      </c>
      <c r="D53" t="s">
        <v>79</v>
      </c>
      <c r="E53" t="s">
        <v>15</v>
      </c>
      <c r="F53" t="s">
        <v>16</v>
      </c>
      <c r="G53">
        <v>20.399999999999999</v>
      </c>
      <c r="H53" s="1">
        <v>35269</v>
      </c>
      <c r="I53" t="s">
        <v>19</v>
      </c>
      <c r="J53">
        <v>80204</v>
      </c>
      <c r="K53" t="s">
        <v>19</v>
      </c>
      <c r="L53" s="3" t="s">
        <v>20</v>
      </c>
      <c r="M53" cm="1">
        <f t="array" ref="M53">_xlfn.IFS(L52="A", 4, L52="B", 3, L52="C", 2, L52="D", 1)</f>
        <v>2</v>
      </c>
    </row>
    <row r="54" spans="1:13" hidden="1" x14ac:dyDescent="0.2">
      <c r="A54">
        <v>2023</v>
      </c>
      <c r="B54">
        <v>80204</v>
      </c>
      <c r="C54" t="s">
        <v>13</v>
      </c>
      <c r="D54" t="s">
        <v>79</v>
      </c>
      <c r="E54" t="s">
        <v>15</v>
      </c>
      <c r="F54" t="s">
        <v>16</v>
      </c>
      <c r="G54">
        <v>20.399999999999999</v>
      </c>
      <c r="H54" s="1">
        <v>35269</v>
      </c>
      <c r="I54" t="s">
        <v>19</v>
      </c>
      <c r="J54">
        <v>80204</v>
      </c>
      <c r="K54" t="s">
        <v>19</v>
      </c>
      <c r="L54" s="3" t="s">
        <v>21</v>
      </c>
      <c r="M54" cm="1">
        <f t="array" ref="M54">_xlfn.IFS(L53="A", 4, L53="B", 3, L53="C", 2, L53="D", 1)</f>
        <v>3</v>
      </c>
    </row>
    <row r="55" spans="1:13" hidden="1" x14ac:dyDescent="0.2">
      <c r="A55">
        <v>2023</v>
      </c>
      <c r="B55">
        <v>80204</v>
      </c>
      <c r="C55" t="s">
        <v>13</v>
      </c>
      <c r="D55" t="s">
        <v>79</v>
      </c>
      <c r="E55" t="s">
        <v>15</v>
      </c>
      <c r="F55" t="s">
        <v>16</v>
      </c>
      <c r="G55">
        <v>20.399999999999999</v>
      </c>
      <c r="H55" s="1">
        <v>35269</v>
      </c>
      <c r="I55" t="s">
        <v>22</v>
      </c>
      <c r="J55">
        <v>80204</v>
      </c>
      <c r="K55" t="s">
        <v>22</v>
      </c>
      <c r="L55" s="3" t="s">
        <v>23</v>
      </c>
      <c r="M55" cm="1">
        <f t="array" ref="M55">_xlfn.IFS(L54="A", 4, L54="B", 3, L54="C", 2, L54="D", 1)</f>
        <v>2</v>
      </c>
    </row>
    <row r="56" spans="1:13" hidden="1" x14ac:dyDescent="0.2">
      <c r="A56">
        <v>2023</v>
      </c>
      <c r="B56">
        <v>80204</v>
      </c>
      <c r="C56" t="s">
        <v>13</v>
      </c>
      <c r="D56" t="s">
        <v>79</v>
      </c>
      <c r="E56" t="s">
        <v>15</v>
      </c>
      <c r="F56" t="s">
        <v>16</v>
      </c>
      <c r="G56">
        <v>20.399999999999999</v>
      </c>
      <c r="H56" s="1">
        <v>35269</v>
      </c>
      <c r="I56" t="s">
        <v>24</v>
      </c>
      <c r="J56">
        <v>80204</v>
      </c>
      <c r="K56" t="s">
        <v>24</v>
      </c>
      <c r="L56" s="3" t="s">
        <v>23</v>
      </c>
      <c r="M56" cm="1">
        <f t="array" ref="M56">_xlfn.IFS(L55="A", 4, L55="B", 3, L55="C", 2, L55="D", 1)</f>
        <v>1</v>
      </c>
    </row>
    <row r="57" spans="1:13" hidden="1" x14ac:dyDescent="0.2">
      <c r="A57">
        <v>2023</v>
      </c>
      <c r="B57">
        <v>80204</v>
      </c>
      <c r="C57" t="s">
        <v>13</v>
      </c>
      <c r="D57" t="s">
        <v>79</v>
      </c>
      <c r="E57" t="s">
        <v>15</v>
      </c>
      <c r="F57" t="s">
        <v>16</v>
      </c>
      <c r="G57">
        <v>20.399999999999999</v>
      </c>
      <c r="H57" s="1">
        <v>35269</v>
      </c>
      <c r="I57" t="s">
        <v>25</v>
      </c>
      <c r="J57">
        <v>80204</v>
      </c>
      <c r="K57" t="s">
        <v>25</v>
      </c>
      <c r="L57" s="3" t="s">
        <v>23</v>
      </c>
      <c r="M57" cm="1">
        <f t="array" ref="M57">_xlfn.IFS(L56="A", 4, L56="B", 3, L56="C", 2, L56="D", 1)</f>
        <v>1</v>
      </c>
    </row>
    <row r="58" spans="1:13" hidden="1" x14ac:dyDescent="0.2">
      <c r="A58">
        <v>2023</v>
      </c>
      <c r="B58">
        <v>80204</v>
      </c>
      <c r="C58" t="s">
        <v>13</v>
      </c>
      <c r="D58" t="s">
        <v>79</v>
      </c>
      <c r="E58" t="s">
        <v>15</v>
      </c>
      <c r="F58" t="s">
        <v>16</v>
      </c>
      <c r="G58">
        <v>20.399999999999999</v>
      </c>
      <c r="H58" s="1">
        <v>35269</v>
      </c>
      <c r="I58" t="s">
        <v>26</v>
      </c>
      <c r="J58">
        <v>80204</v>
      </c>
      <c r="K58" t="s">
        <v>26</v>
      </c>
      <c r="L58" s="3" t="s">
        <v>21</v>
      </c>
      <c r="M58" cm="1">
        <f t="array" ref="M58">_xlfn.IFS(L57="A", 4, L57="B", 3, L57="C", 2, L57="D", 1)</f>
        <v>1</v>
      </c>
    </row>
    <row r="59" spans="1:13" hidden="1" x14ac:dyDescent="0.2">
      <c r="A59">
        <v>2023</v>
      </c>
      <c r="B59">
        <v>80204</v>
      </c>
      <c r="C59" t="s">
        <v>74</v>
      </c>
      <c r="D59" t="s">
        <v>80</v>
      </c>
      <c r="E59" t="s">
        <v>15</v>
      </c>
      <c r="F59" t="s">
        <v>16</v>
      </c>
      <c r="G59">
        <v>60.6</v>
      </c>
      <c r="H59" s="1">
        <v>35269</v>
      </c>
      <c r="I59" t="s">
        <v>19</v>
      </c>
      <c r="J59">
        <v>80204</v>
      </c>
      <c r="K59" t="s">
        <v>19</v>
      </c>
      <c r="L59" s="3" t="s">
        <v>20</v>
      </c>
      <c r="M59" cm="1">
        <f t="array" ref="M59">_xlfn.IFS(L58="A", 4, L58="B", 3, L58="C", 2, L58="D", 1)</f>
        <v>2</v>
      </c>
    </row>
    <row r="60" spans="1:13" hidden="1" x14ac:dyDescent="0.2">
      <c r="A60">
        <v>2023</v>
      </c>
      <c r="B60">
        <v>80204</v>
      </c>
      <c r="C60" t="s">
        <v>74</v>
      </c>
      <c r="D60" t="s">
        <v>80</v>
      </c>
      <c r="E60" t="s">
        <v>15</v>
      </c>
      <c r="F60" t="s">
        <v>16</v>
      </c>
      <c r="G60">
        <v>60.6</v>
      </c>
      <c r="H60" s="1">
        <v>35269</v>
      </c>
      <c r="I60" t="s">
        <v>19</v>
      </c>
      <c r="J60">
        <v>80204</v>
      </c>
      <c r="K60" t="s">
        <v>19</v>
      </c>
      <c r="L60" s="3" t="s">
        <v>21</v>
      </c>
      <c r="M60" cm="1">
        <f t="array" ref="M60">_xlfn.IFS(L59="A", 4, L59="B", 3, L59="C", 2, L59="D", 1)</f>
        <v>3</v>
      </c>
    </row>
    <row r="61" spans="1:13" hidden="1" x14ac:dyDescent="0.2">
      <c r="A61">
        <v>2023</v>
      </c>
      <c r="B61">
        <v>80204</v>
      </c>
      <c r="C61" t="s">
        <v>74</v>
      </c>
      <c r="D61" t="s">
        <v>80</v>
      </c>
      <c r="E61" t="s">
        <v>15</v>
      </c>
      <c r="F61" t="s">
        <v>16</v>
      </c>
      <c r="G61">
        <v>60.6</v>
      </c>
      <c r="H61" s="1">
        <v>35269</v>
      </c>
      <c r="I61" t="s">
        <v>22</v>
      </c>
      <c r="J61">
        <v>80204</v>
      </c>
      <c r="K61" t="s">
        <v>22</v>
      </c>
      <c r="L61" s="3" t="s">
        <v>23</v>
      </c>
      <c r="M61" cm="1">
        <f t="array" ref="M61">_xlfn.IFS(L60="A", 4, L60="B", 3, L60="C", 2, L60="D", 1)</f>
        <v>2</v>
      </c>
    </row>
    <row r="62" spans="1:13" hidden="1" x14ac:dyDescent="0.2">
      <c r="A62">
        <v>2023</v>
      </c>
      <c r="B62">
        <v>80204</v>
      </c>
      <c r="C62" t="s">
        <v>74</v>
      </c>
      <c r="D62" t="s">
        <v>80</v>
      </c>
      <c r="E62" t="s">
        <v>15</v>
      </c>
      <c r="F62" t="s">
        <v>16</v>
      </c>
      <c r="G62">
        <v>60.6</v>
      </c>
      <c r="H62" s="1">
        <v>35269</v>
      </c>
      <c r="I62" t="s">
        <v>24</v>
      </c>
      <c r="J62">
        <v>80204</v>
      </c>
      <c r="K62" t="s">
        <v>24</v>
      </c>
      <c r="L62" s="3" t="s">
        <v>23</v>
      </c>
      <c r="M62" cm="1">
        <f t="array" ref="M62">_xlfn.IFS(L61="A", 4, L61="B", 3, L61="C", 2, L61="D", 1)</f>
        <v>1</v>
      </c>
    </row>
    <row r="63" spans="1:13" hidden="1" x14ac:dyDescent="0.2">
      <c r="A63">
        <v>2023</v>
      </c>
      <c r="B63">
        <v>80204</v>
      </c>
      <c r="C63" t="s">
        <v>74</v>
      </c>
      <c r="D63" t="s">
        <v>80</v>
      </c>
      <c r="E63" t="s">
        <v>15</v>
      </c>
      <c r="F63" t="s">
        <v>16</v>
      </c>
      <c r="G63">
        <v>60.6</v>
      </c>
      <c r="H63" s="1">
        <v>35269</v>
      </c>
      <c r="I63" t="s">
        <v>25</v>
      </c>
      <c r="J63">
        <v>80204</v>
      </c>
      <c r="K63" t="s">
        <v>25</v>
      </c>
      <c r="L63" s="3" t="s">
        <v>23</v>
      </c>
      <c r="M63" cm="1">
        <f t="array" ref="M63">_xlfn.IFS(L62="A", 4, L62="B", 3, L62="C", 2, L62="D", 1)</f>
        <v>1</v>
      </c>
    </row>
    <row r="64" spans="1:13" hidden="1" x14ac:dyDescent="0.2">
      <c r="A64">
        <v>2023</v>
      </c>
      <c r="B64">
        <v>80204</v>
      </c>
      <c r="C64" t="s">
        <v>74</v>
      </c>
      <c r="D64" t="s">
        <v>80</v>
      </c>
      <c r="E64" t="s">
        <v>15</v>
      </c>
      <c r="F64" t="s">
        <v>16</v>
      </c>
      <c r="G64">
        <v>60.6</v>
      </c>
      <c r="H64" s="1">
        <v>35269</v>
      </c>
      <c r="I64" t="s">
        <v>26</v>
      </c>
      <c r="J64">
        <v>80204</v>
      </c>
      <c r="K64" t="s">
        <v>26</v>
      </c>
      <c r="L64" s="3" t="s">
        <v>21</v>
      </c>
      <c r="M64" cm="1">
        <f t="array" ref="M64">_xlfn.IFS(L63="A", 4, L63="B", 3, L63="C", 2, L63="D", 1)</f>
        <v>1</v>
      </c>
    </row>
    <row r="65" spans="1:13" hidden="1" x14ac:dyDescent="0.2">
      <c r="A65">
        <v>2023</v>
      </c>
      <c r="B65">
        <v>80204</v>
      </c>
      <c r="C65" t="s">
        <v>13</v>
      </c>
      <c r="D65" t="s">
        <v>81</v>
      </c>
      <c r="E65" t="s">
        <v>15</v>
      </c>
      <c r="F65" t="s">
        <v>16</v>
      </c>
      <c r="G65">
        <v>4.4000000000000004</v>
      </c>
      <c r="H65" s="1">
        <v>35269</v>
      </c>
      <c r="I65" t="s">
        <v>19</v>
      </c>
      <c r="J65">
        <v>80204</v>
      </c>
      <c r="K65" t="s">
        <v>19</v>
      </c>
      <c r="L65" s="3" t="s">
        <v>20</v>
      </c>
      <c r="M65" cm="1">
        <f t="array" ref="M65">_xlfn.IFS(L64="A", 4, L64="B", 3, L64="C", 2, L64="D", 1)</f>
        <v>2</v>
      </c>
    </row>
    <row r="66" spans="1:13" hidden="1" x14ac:dyDescent="0.2">
      <c r="A66">
        <v>2023</v>
      </c>
      <c r="B66">
        <v>80204</v>
      </c>
      <c r="C66" t="s">
        <v>13</v>
      </c>
      <c r="D66" t="s">
        <v>81</v>
      </c>
      <c r="E66" t="s">
        <v>15</v>
      </c>
      <c r="F66" t="s">
        <v>16</v>
      </c>
      <c r="G66">
        <v>4.4000000000000004</v>
      </c>
      <c r="H66" s="1">
        <v>35269</v>
      </c>
      <c r="I66" t="s">
        <v>19</v>
      </c>
      <c r="J66">
        <v>80204</v>
      </c>
      <c r="K66" t="s">
        <v>19</v>
      </c>
      <c r="L66" s="3" t="s">
        <v>21</v>
      </c>
      <c r="M66" cm="1">
        <f t="array" ref="M66">_xlfn.IFS(L65="A", 4, L65="B", 3, L65="C", 2, L65="D", 1)</f>
        <v>3</v>
      </c>
    </row>
    <row r="67" spans="1:13" hidden="1" x14ac:dyDescent="0.2">
      <c r="A67">
        <v>2023</v>
      </c>
      <c r="B67">
        <v>80204</v>
      </c>
      <c r="C67" t="s">
        <v>13</v>
      </c>
      <c r="D67" t="s">
        <v>81</v>
      </c>
      <c r="E67" t="s">
        <v>15</v>
      </c>
      <c r="F67" t="s">
        <v>16</v>
      </c>
      <c r="G67">
        <v>4.4000000000000004</v>
      </c>
      <c r="H67" s="1">
        <v>35269</v>
      </c>
      <c r="I67" t="s">
        <v>22</v>
      </c>
      <c r="J67">
        <v>80204</v>
      </c>
      <c r="K67" t="s">
        <v>22</v>
      </c>
      <c r="L67" s="3" t="s">
        <v>23</v>
      </c>
      <c r="M67" cm="1">
        <f t="array" ref="M67">_xlfn.IFS(L66="A", 4, L66="B", 3, L66="C", 2, L66="D", 1)</f>
        <v>2</v>
      </c>
    </row>
    <row r="68" spans="1:13" hidden="1" x14ac:dyDescent="0.2">
      <c r="A68">
        <v>2023</v>
      </c>
      <c r="B68">
        <v>80204</v>
      </c>
      <c r="C68" t="s">
        <v>13</v>
      </c>
      <c r="D68" t="s">
        <v>81</v>
      </c>
      <c r="E68" t="s">
        <v>15</v>
      </c>
      <c r="F68" t="s">
        <v>16</v>
      </c>
      <c r="G68">
        <v>4.4000000000000004</v>
      </c>
      <c r="H68" s="1">
        <v>35269</v>
      </c>
      <c r="I68" t="s">
        <v>24</v>
      </c>
      <c r="J68">
        <v>80204</v>
      </c>
      <c r="K68" t="s">
        <v>24</v>
      </c>
      <c r="L68" s="3" t="s">
        <v>23</v>
      </c>
      <c r="M68" cm="1">
        <f t="array" ref="M68">_xlfn.IFS(L67="A", 4, L67="B", 3, L67="C", 2, L67="D", 1)</f>
        <v>1</v>
      </c>
    </row>
    <row r="69" spans="1:13" hidden="1" x14ac:dyDescent="0.2">
      <c r="A69">
        <v>2023</v>
      </c>
      <c r="B69">
        <v>80204</v>
      </c>
      <c r="C69" t="s">
        <v>13</v>
      </c>
      <c r="D69" t="s">
        <v>81</v>
      </c>
      <c r="E69" t="s">
        <v>15</v>
      </c>
      <c r="F69" t="s">
        <v>16</v>
      </c>
      <c r="G69">
        <v>4.4000000000000004</v>
      </c>
      <c r="H69" s="1">
        <v>35269</v>
      </c>
      <c r="I69" t="s">
        <v>25</v>
      </c>
      <c r="J69">
        <v>80204</v>
      </c>
      <c r="K69" t="s">
        <v>25</v>
      </c>
      <c r="L69" s="3" t="s">
        <v>23</v>
      </c>
      <c r="M69" cm="1">
        <f t="array" ref="M69">_xlfn.IFS(L68="A", 4, L68="B", 3, L68="C", 2, L68="D", 1)</f>
        <v>1</v>
      </c>
    </row>
    <row r="70" spans="1:13" hidden="1" x14ac:dyDescent="0.2">
      <c r="A70">
        <v>2023</v>
      </c>
      <c r="B70">
        <v>80204</v>
      </c>
      <c r="C70" t="s">
        <v>13</v>
      </c>
      <c r="D70" t="s">
        <v>81</v>
      </c>
      <c r="E70" t="s">
        <v>15</v>
      </c>
      <c r="F70" t="s">
        <v>16</v>
      </c>
      <c r="G70">
        <v>4.4000000000000004</v>
      </c>
      <c r="H70" s="1">
        <v>35269</v>
      </c>
      <c r="I70" t="s">
        <v>26</v>
      </c>
      <c r="J70">
        <v>80204</v>
      </c>
      <c r="K70" t="s">
        <v>26</v>
      </c>
      <c r="L70" s="3" t="s">
        <v>21</v>
      </c>
      <c r="M70" cm="1">
        <f t="array" ref="M70">_xlfn.IFS(L69="A", 4, L69="B", 3, L69="C", 2, L69="D", 1)</f>
        <v>1</v>
      </c>
    </row>
    <row r="71" spans="1:13" hidden="1" x14ac:dyDescent="0.2">
      <c r="A71">
        <v>2023</v>
      </c>
      <c r="B71">
        <v>80204</v>
      </c>
      <c r="C71" t="s">
        <v>13</v>
      </c>
      <c r="D71" t="s">
        <v>82</v>
      </c>
      <c r="E71" t="s">
        <v>15</v>
      </c>
      <c r="F71" t="s">
        <v>16</v>
      </c>
      <c r="G71">
        <v>10.4</v>
      </c>
      <c r="H71" s="1">
        <v>35269</v>
      </c>
      <c r="I71" t="s">
        <v>19</v>
      </c>
      <c r="J71">
        <v>80204</v>
      </c>
      <c r="K71" t="s">
        <v>19</v>
      </c>
      <c r="L71" s="3" t="s">
        <v>20</v>
      </c>
      <c r="M71" cm="1">
        <f t="array" ref="M71">_xlfn.IFS(L70="A", 4, L70="B", 3, L70="C", 2, L70="D", 1)</f>
        <v>2</v>
      </c>
    </row>
    <row r="72" spans="1:13" hidden="1" x14ac:dyDescent="0.2">
      <c r="A72">
        <v>2023</v>
      </c>
      <c r="B72">
        <v>80204</v>
      </c>
      <c r="C72" t="s">
        <v>13</v>
      </c>
      <c r="D72" t="s">
        <v>82</v>
      </c>
      <c r="E72" t="s">
        <v>15</v>
      </c>
      <c r="F72" t="s">
        <v>16</v>
      </c>
      <c r="G72">
        <v>10.4</v>
      </c>
      <c r="H72" s="1">
        <v>35269</v>
      </c>
      <c r="I72" t="s">
        <v>19</v>
      </c>
      <c r="J72">
        <v>80204</v>
      </c>
      <c r="K72" t="s">
        <v>19</v>
      </c>
      <c r="L72" s="3" t="s">
        <v>21</v>
      </c>
      <c r="M72" cm="1">
        <f t="array" ref="M72">_xlfn.IFS(L71="A", 4, L71="B", 3, L71="C", 2, L71="D", 1)</f>
        <v>3</v>
      </c>
    </row>
    <row r="73" spans="1:13" hidden="1" x14ac:dyDescent="0.2">
      <c r="A73">
        <v>2023</v>
      </c>
      <c r="B73">
        <v>80204</v>
      </c>
      <c r="C73" t="s">
        <v>13</v>
      </c>
      <c r="D73" t="s">
        <v>82</v>
      </c>
      <c r="E73" t="s">
        <v>15</v>
      </c>
      <c r="F73" t="s">
        <v>16</v>
      </c>
      <c r="G73">
        <v>10.4</v>
      </c>
      <c r="H73" s="1">
        <v>35269</v>
      </c>
      <c r="I73" t="s">
        <v>22</v>
      </c>
      <c r="J73">
        <v>80204</v>
      </c>
      <c r="K73" t="s">
        <v>22</v>
      </c>
      <c r="L73" s="3" t="s">
        <v>23</v>
      </c>
      <c r="M73" cm="1">
        <f t="array" ref="M73">_xlfn.IFS(L72="A", 4, L72="B", 3, L72="C", 2, L72="D", 1)</f>
        <v>2</v>
      </c>
    </row>
    <row r="74" spans="1:13" hidden="1" x14ac:dyDescent="0.2">
      <c r="A74">
        <v>2023</v>
      </c>
      <c r="B74">
        <v>80204</v>
      </c>
      <c r="C74" t="s">
        <v>13</v>
      </c>
      <c r="D74" t="s">
        <v>82</v>
      </c>
      <c r="E74" t="s">
        <v>15</v>
      </c>
      <c r="F74" t="s">
        <v>16</v>
      </c>
      <c r="G74">
        <v>10.4</v>
      </c>
      <c r="H74" s="1">
        <v>35269</v>
      </c>
      <c r="I74" t="s">
        <v>24</v>
      </c>
      <c r="J74">
        <v>80204</v>
      </c>
      <c r="K74" t="s">
        <v>24</v>
      </c>
      <c r="L74" s="3" t="s">
        <v>23</v>
      </c>
      <c r="M74" cm="1">
        <f t="array" ref="M74">_xlfn.IFS(L73="A", 4, L73="B", 3, L73="C", 2, L73="D", 1)</f>
        <v>1</v>
      </c>
    </row>
    <row r="75" spans="1:13" hidden="1" x14ac:dyDescent="0.2">
      <c r="A75">
        <v>2023</v>
      </c>
      <c r="B75">
        <v>80204</v>
      </c>
      <c r="C75" t="s">
        <v>13</v>
      </c>
      <c r="D75" t="s">
        <v>82</v>
      </c>
      <c r="E75" t="s">
        <v>15</v>
      </c>
      <c r="F75" t="s">
        <v>16</v>
      </c>
      <c r="G75">
        <v>10.4</v>
      </c>
      <c r="H75" s="1">
        <v>35269</v>
      </c>
      <c r="I75" t="s">
        <v>25</v>
      </c>
      <c r="J75">
        <v>80204</v>
      </c>
      <c r="K75" t="s">
        <v>25</v>
      </c>
      <c r="L75" s="3" t="s">
        <v>23</v>
      </c>
      <c r="M75" cm="1">
        <f t="array" ref="M75">_xlfn.IFS(L74="A", 4, L74="B", 3, L74="C", 2, L74="D", 1)</f>
        <v>1</v>
      </c>
    </row>
    <row r="76" spans="1:13" hidden="1" x14ac:dyDescent="0.2">
      <c r="A76">
        <v>2023</v>
      </c>
      <c r="B76">
        <v>80204</v>
      </c>
      <c r="C76" t="s">
        <v>13</v>
      </c>
      <c r="D76" t="s">
        <v>82</v>
      </c>
      <c r="E76" t="s">
        <v>15</v>
      </c>
      <c r="F76" t="s">
        <v>16</v>
      </c>
      <c r="G76">
        <v>10.4</v>
      </c>
      <c r="H76" s="1">
        <v>35269</v>
      </c>
      <c r="I76" t="s">
        <v>26</v>
      </c>
      <c r="J76">
        <v>80204</v>
      </c>
      <c r="K76" t="s">
        <v>26</v>
      </c>
      <c r="L76" s="3" t="s">
        <v>21</v>
      </c>
      <c r="M76" cm="1">
        <f t="array" ref="M76">_xlfn.IFS(L75="A", 4, L75="B", 3, L75="C", 2, L75="D", 1)</f>
        <v>1</v>
      </c>
    </row>
    <row r="77" spans="1:13" hidden="1" x14ac:dyDescent="0.2">
      <c r="A77">
        <v>2023</v>
      </c>
      <c r="B77">
        <v>80204</v>
      </c>
      <c r="C77" t="s">
        <v>13</v>
      </c>
      <c r="D77" t="s">
        <v>83</v>
      </c>
      <c r="E77" t="s">
        <v>15</v>
      </c>
      <c r="F77" t="s">
        <v>16</v>
      </c>
      <c r="G77">
        <v>4</v>
      </c>
      <c r="H77" s="1">
        <v>35269</v>
      </c>
      <c r="I77" t="s">
        <v>19</v>
      </c>
      <c r="J77">
        <v>80204</v>
      </c>
      <c r="K77" t="s">
        <v>19</v>
      </c>
      <c r="L77" s="3" t="s">
        <v>20</v>
      </c>
      <c r="M77" cm="1">
        <f t="array" ref="M77">_xlfn.IFS(L76="A", 4, L76="B", 3, L76="C", 2, L76="D", 1)</f>
        <v>2</v>
      </c>
    </row>
    <row r="78" spans="1:13" hidden="1" x14ac:dyDescent="0.2">
      <c r="A78">
        <v>2023</v>
      </c>
      <c r="B78">
        <v>80204</v>
      </c>
      <c r="C78" t="s">
        <v>13</v>
      </c>
      <c r="D78" t="s">
        <v>83</v>
      </c>
      <c r="E78" t="s">
        <v>15</v>
      </c>
      <c r="F78" t="s">
        <v>16</v>
      </c>
      <c r="G78">
        <v>4</v>
      </c>
      <c r="H78" s="1">
        <v>35269</v>
      </c>
      <c r="I78" t="s">
        <v>19</v>
      </c>
      <c r="J78">
        <v>80204</v>
      </c>
      <c r="K78" t="s">
        <v>19</v>
      </c>
      <c r="L78" s="3" t="s">
        <v>21</v>
      </c>
      <c r="M78" cm="1">
        <f t="array" ref="M78">_xlfn.IFS(L77="A", 4, L77="B", 3, L77="C", 2, L77="D", 1)</f>
        <v>3</v>
      </c>
    </row>
    <row r="79" spans="1:13" hidden="1" x14ac:dyDescent="0.2">
      <c r="A79">
        <v>2023</v>
      </c>
      <c r="B79">
        <v>80204</v>
      </c>
      <c r="C79" t="s">
        <v>13</v>
      </c>
      <c r="D79" t="s">
        <v>83</v>
      </c>
      <c r="E79" t="s">
        <v>15</v>
      </c>
      <c r="F79" t="s">
        <v>16</v>
      </c>
      <c r="G79">
        <v>4</v>
      </c>
      <c r="H79" s="1">
        <v>35269</v>
      </c>
      <c r="I79" t="s">
        <v>22</v>
      </c>
      <c r="J79">
        <v>80204</v>
      </c>
      <c r="K79" t="s">
        <v>22</v>
      </c>
      <c r="L79" s="3" t="s">
        <v>23</v>
      </c>
      <c r="M79" cm="1">
        <f t="array" ref="M79">_xlfn.IFS(L78="A", 4, L78="B", 3, L78="C", 2, L78="D", 1)</f>
        <v>2</v>
      </c>
    </row>
    <row r="80" spans="1:13" hidden="1" x14ac:dyDescent="0.2">
      <c r="A80">
        <v>2023</v>
      </c>
      <c r="B80">
        <v>80204</v>
      </c>
      <c r="C80" t="s">
        <v>13</v>
      </c>
      <c r="D80" t="s">
        <v>83</v>
      </c>
      <c r="E80" t="s">
        <v>15</v>
      </c>
      <c r="F80" t="s">
        <v>16</v>
      </c>
      <c r="G80">
        <v>4</v>
      </c>
      <c r="H80" s="1">
        <v>35269</v>
      </c>
      <c r="I80" t="s">
        <v>24</v>
      </c>
      <c r="J80">
        <v>80204</v>
      </c>
      <c r="K80" t="s">
        <v>24</v>
      </c>
      <c r="L80" s="3" t="s">
        <v>23</v>
      </c>
      <c r="M80" cm="1">
        <f t="array" ref="M80">_xlfn.IFS(L79="A", 4, L79="B", 3, L79="C", 2, L79="D", 1)</f>
        <v>1</v>
      </c>
    </row>
    <row r="81" spans="1:13" hidden="1" x14ac:dyDescent="0.2">
      <c r="A81">
        <v>2023</v>
      </c>
      <c r="B81">
        <v>80204</v>
      </c>
      <c r="C81" t="s">
        <v>13</v>
      </c>
      <c r="D81" t="s">
        <v>83</v>
      </c>
      <c r="E81" t="s">
        <v>15</v>
      </c>
      <c r="F81" t="s">
        <v>16</v>
      </c>
      <c r="G81">
        <v>4</v>
      </c>
      <c r="H81" s="1">
        <v>35269</v>
      </c>
      <c r="I81" t="s">
        <v>25</v>
      </c>
      <c r="J81">
        <v>80204</v>
      </c>
      <c r="K81" t="s">
        <v>25</v>
      </c>
      <c r="L81" s="3" t="s">
        <v>23</v>
      </c>
      <c r="M81" cm="1">
        <f t="array" ref="M81">_xlfn.IFS(L80="A", 4, L80="B", 3, L80="C", 2, L80="D", 1)</f>
        <v>1</v>
      </c>
    </row>
    <row r="82" spans="1:13" hidden="1" x14ac:dyDescent="0.2">
      <c r="A82">
        <v>2023</v>
      </c>
      <c r="B82">
        <v>80204</v>
      </c>
      <c r="C82" t="s">
        <v>13</v>
      </c>
      <c r="D82" t="s">
        <v>83</v>
      </c>
      <c r="E82" t="s">
        <v>15</v>
      </c>
      <c r="F82" t="s">
        <v>16</v>
      </c>
      <c r="G82">
        <v>4</v>
      </c>
      <c r="H82" s="1">
        <v>35269</v>
      </c>
      <c r="I82" t="s">
        <v>26</v>
      </c>
      <c r="J82">
        <v>80204</v>
      </c>
      <c r="K82" t="s">
        <v>26</v>
      </c>
      <c r="L82" s="3" t="s">
        <v>21</v>
      </c>
      <c r="M82" cm="1">
        <f t="array" ref="M82">_xlfn.IFS(L81="A", 4, L81="B", 3, L81="C", 2, L81="D", 1)</f>
        <v>1</v>
      </c>
    </row>
    <row r="83" spans="1:13" x14ac:dyDescent="0.2">
      <c r="A83">
        <v>2023</v>
      </c>
      <c r="B83">
        <v>80204</v>
      </c>
      <c r="C83" t="s">
        <v>74</v>
      </c>
      <c r="D83" t="s">
        <v>84</v>
      </c>
      <c r="E83" t="s">
        <v>15</v>
      </c>
      <c r="F83" t="s">
        <v>16</v>
      </c>
      <c r="G83">
        <v>66.5</v>
      </c>
      <c r="H83" s="1">
        <v>35269</v>
      </c>
      <c r="I83" t="s">
        <v>19</v>
      </c>
      <c r="J83">
        <v>80204</v>
      </c>
      <c r="K83" t="s">
        <v>19</v>
      </c>
      <c r="L83" s="3" t="s">
        <v>20</v>
      </c>
      <c r="M83" cm="1">
        <f t="array" ref="M83">_xlfn.IFS(L82="A", 4, L82="B", 3, L82="C", 2, L82="D", 1)</f>
        <v>2</v>
      </c>
    </row>
    <row r="84" spans="1:13" x14ac:dyDescent="0.2">
      <c r="A84">
        <v>2023</v>
      </c>
      <c r="B84">
        <v>80204</v>
      </c>
      <c r="C84" t="s">
        <v>74</v>
      </c>
      <c r="D84" t="s">
        <v>84</v>
      </c>
      <c r="E84" t="s">
        <v>15</v>
      </c>
      <c r="F84" t="s">
        <v>16</v>
      </c>
      <c r="G84">
        <v>66.5</v>
      </c>
      <c r="H84" s="1">
        <v>35269</v>
      </c>
      <c r="I84" t="s">
        <v>19</v>
      </c>
      <c r="J84">
        <v>80204</v>
      </c>
      <c r="K84" t="s">
        <v>19</v>
      </c>
      <c r="L84" s="3" t="s">
        <v>21</v>
      </c>
      <c r="M84" cm="1">
        <f t="array" ref="M84">_xlfn.IFS(L83="A", 4, L83="B", 3, L83="C", 2, L83="D", 1)</f>
        <v>3</v>
      </c>
    </row>
    <row r="85" spans="1:13" x14ac:dyDescent="0.2">
      <c r="A85">
        <v>2023</v>
      </c>
      <c r="B85">
        <v>80204</v>
      </c>
      <c r="C85" t="s">
        <v>74</v>
      </c>
      <c r="D85" t="s">
        <v>84</v>
      </c>
      <c r="E85" t="s">
        <v>15</v>
      </c>
      <c r="F85" t="s">
        <v>16</v>
      </c>
      <c r="G85">
        <v>66.5</v>
      </c>
      <c r="H85" s="1">
        <v>35269</v>
      </c>
      <c r="I85" t="s">
        <v>22</v>
      </c>
      <c r="J85">
        <v>80204</v>
      </c>
      <c r="K85" t="s">
        <v>22</v>
      </c>
      <c r="L85" s="3" t="s">
        <v>23</v>
      </c>
      <c r="M85" cm="1">
        <f t="array" ref="M85">_xlfn.IFS(L84="A", 4, L84="B", 3, L84="C", 2, L84="D", 1)</f>
        <v>2</v>
      </c>
    </row>
    <row r="86" spans="1:13" x14ac:dyDescent="0.2">
      <c r="A86">
        <v>2023</v>
      </c>
      <c r="B86">
        <v>80204</v>
      </c>
      <c r="C86" t="s">
        <v>74</v>
      </c>
      <c r="D86" t="s">
        <v>84</v>
      </c>
      <c r="E86" t="s">
        <v>15</v>
      </c>
      <c r="F86" t="s">
        <v>16</v>
      </c>
      <c r="G86">
        <v>66.5</v>
      </c>
      <c r="H86" s="1">
        <v>35269</v>
      </c>
      <c r="I86" t="s">
        <v>24</v>
      </c>
      <c r="J86">
        <v>80204</v>
      </c>
      <c r="K86" t="s">
        <v>24</v>
      </c>
      <c r="L86" s="3" t="s">
        <v>23</v>
      </c>
      <c r="M86" cm="1">
        <f t="array" ref="M86">_xlfn.IFS(L85="A", 4, L85="B", 3, L85="C", 2, L85="D", 1)</f>
        <v>1</v>
      </c>
    </row>
    <row r="87" spans="1:13" x14ac:dyDescent="0.2">
      <c r="A87">
        <v>2023</v>
      </c>
      <c r="B87">
        <v>80204</v>
      </c>
      <c r="C87" t="s">
        <v>74</v>
      </c>
      <c r="D87" t="s">
        <v>84</v>
      </c>
      <c r="E87" t="s">
        <v>15</v>
      </c>
      <c r="F87" t="s">
        <v>16</v>
      </c>
      <c r="G87">
        <v>66.5</v>
      </c>
      <c r="H87" s="1">
        <v>35269</v>
      </c>
      <c r="I87" t="s">
        <v>25</v>
      </c>
      <c r="J87">
        <v>80204</v>
      </c>
      <c r="K87" t="s">
        <v>25</v>
      </c>
      <c r="L87" s="3" t="s">
        <v>23</v>
      </c>
      <c r="M87" cm="1">
        <f t="array" ref="M87">_xlfn.IFS(L86="A", 4, L86="B", 3, L86="C", 2, L86="D", 1)</f>
        <v>1</v>
      </c>
    </row>
    <row r="88" spans="1:13" x14ac:dyDescent="0.2">
      <c r="A88">
        <v>2023</v>
      </c>
      <c r="B88">
        <v>80204</v>
      </c>
      <c r="C88" t="s">
        <v>74</v>
      </c>
      <c r="D88" t="s">
        <v>84</v>
      </c>
      <c r="E88" t="s">
        <v>15</v>
      </c>
      <c r="F88" t="s">
        <v>16</v>
      </c>
      <c r="G88">
        <v>66.5</v>
      </c>
      <c r="H88" s="1">
        <v>35269</v>
      </c>
      <c r="I88" t="s">
        <v>26</v>
      </c>
      <c r="J88">
        <v>80204</v>
      </c>
      <c r="K88" t="s">
        <v>26</v>
      </c>
      <c r="L88" s="3" t="s">
        <v>21</v>
      </c>
      <c r="M88" cm="1">
        <f t="array" ref="M88">_xlfn.IFS(L87="A", 4, L87="B", 3, L87="C", 2, L87="D", 1)</f>
        <v>1</v>
      </c>
    </row>
    <row r="89" spans="1:13" hidden="1" x14ac:dyDescent="0.2">
      <c r="A89">
        <v>2023</v>
      </c>
      <c r="B89">
        <v>80204</v>
      </c>
      <c r="C89" t="s">
        <v>74</v>
      </c>
      <c r="D89" t="s">
        <v>85</v>
      </c>
      <c r="E89" t="s">
        <v>15</v>
      </c>
      <c r="F89" t="s">
        <v>16</v>
      </c>
      <c r="G89">
        <v>79.7</v>
      </c>
      <c r="H89" s="1">
        <v>35269</v>
      </c>
      <c r="I89" t="s">
        <v>19</v>
      </c>
      <c r="J89">
        <v>80204</v>
      </c>
      <c r="K89" t="s">
        <v>19</v>
      </c>
      <c r="L89" s="3" t="s">
        <v>20</v>
      </c>
      <c r="M89" cm="1">
        <f t="array" ref="M89">_xlfn.IFS(L88="A", 4, L88="B", 3, L88="C", 2, L88="D", 1)</f>
        <v>2</v>
      </c>
    </row>
    <row r="90" spans="1:13" hidden="1" x14ac:dyDescent="0.2">
      <c r="A90">
        <v>2023</v>
      </c>
      <c r="B90">
        <v>80204</v>
      </c>
      <c r="C90" t="s">
        <v>74</v>
      </c>
      <c r="D90" t="s">
        <v>85</v>
      </c>
      <c r="E90" t="s">
        <v>15</v>
      </c>
      <c r="F90" t="s">
        <v>16</v>
      </c>
      <c r="G90">
        <v>79.7</v>
      </c>
      <c r="H90" s="1">
        <v>35269</v>
      </c>
      <c r="I90" t="s">
        <v>19</v>
      </c>
      <c r="J90">
        <v>80204</v>
      </c>
      <c r="K90" t="s">
        <v>19</v>
      </c>
      <c r="L90" s="3" t="s">
        <v>21</v>
      </c>
      <c r="M90" cm="1">
        <f t="array" ref="M90">_xlfn.IFS(L89="A", 4, L89="B", 3, L89="C", 2, L89="D", 1)</f>
        <v>3</v>
      </c>
    </row>
    <row r="91" spans="1:13" hidden="1" x14ac:dyDescent="0.2">
      <c r="A91">
        <v>2023</v>
      </c>
      <c r="B91">
        <v>80204</v>
      </c>
      <c r="C91" t="s">
        <v>74</v>
      </c>
      <c r="D91" t="s">
        <v>85</v>
      </c>
      <c r="E91" t="s">
        <v>15</v>
      </c>
      <c r="F91" t="s">
        <v>16</v>
      </c>
      <c r="G91">
        <v>79.7</v>
      </c>
      <c r="H91" s="1">
        <v>35269</v>
      </c>
      <c r="I91" t="s">
        <v>22</v>
      </c>
      <c r="J91">
        <v>80204</v>
      </c>
      <c r="K91" t="s">
        <v>22</v>
      </c>
      <c r="L91" s="3" t="s">
        <v>23</v>
      </c>
      <c r="M91" cm="1">
        <f t="array" ref="M91">_xlfn.IFS(L90="A", 4, L90="B", 3, L90="C", 2, L90="D", 1)</f>
        <v>2</v>
      </c>
    </row>
    <row r="92" spans="1:13" hidden="1" x14ac:dyDescent="0.2">
      <c r="A92">
        <v>2023</v>
      </c>
      <c r="B92">
        <v>80204</v>
      </c>
      <c r="C92" t="s">
        <v>74</v>
      </c>
      <c r="D92" t="s">
        <v>85</v>
      </c>
      <c r="E92" t="s">
        <v>15</v>
      </c>
      <c r="F92" t="s">
        <v>16</v>
      </c>
      <c r="G92">
        <v>79.7</v>
      </c>
      <c r="H92" s="1">
        <v>35269</v>
      </c>
      <c r="I92" t="s">
        <v>24</v>
      </c>
      <c r="J92">
        <v>80204</v>
      </c>
      <c r="K92" t="s">
        <v>24</v>
      </c>
      <c r="L92" s="3" t="s">
        <v>23</v>
      </c>
      <c r="M92" cm="1">
        <f t="array" ref="M92">_xlfn.IFS(L91="A", 4, L91="B", 3, L91="C", 2, L91="D", 1)</f>
        <v>1</v>
      </c>
    </row>
    <row r="93" spans="1:13" hidden="1" x14ac:dyDescent="0.2">
      <c r="A93">
        <v>2023</v>
      </c>
      <c r="B93">
        <v>80204</v>
      </c>
      <c r="C93" t="s">
        <v>74</v>
      </c>
      <c r="D93" t="s">
        <v>85</v>
      </c>
      <c r="E93" t="s">
        <v>15</v>
      </c>
      <c r="F93" t="s">
        <v>16</v>
      </c>
      <c r="G93">
        <v>79.7</v>
      </c>
      <c r="H93" s="1">
        <v>35269</v>
      </c>
      <c r="I93" t="s">
        <v>25</v>
      </c>
      <c r="J93">
        <v>80204</v>
      </c>
      <c r="K93" t="s">
        <v>25</v>
      </c>
      <c r="L93" s="3" t="s">
        <v>23</v>
      </c>
      <c r="M93" cm="1">
        <f t="array" ref="M93">_xlfn.IFS(L92="A", 4, L92="B", 3, L92="C", 2, L92="D", 1)</f>
        <v>1</v>
      </c>
    </row>
    <row r="94" spans="1:13" hidden="1" x14ac:dyDescent="0.2">
      <c r="A94">
        <v>2023</v>
      </c>
      <c r="B94">
        <v>80204</v>
      </c>
      <c r="C94" t="s">
        <v>74</v>
      </c>
      <c r="D94" t="s">
        <v>85</v>
      </c>
      <c r="E94" t="s">
        <v>15</v>
      </c>
      <c r="F94" t="s">
        <v>16</v>
      </c>
      <c r="G94">
        <v>79.7</v>
      </c>
      <c r="H94" s="1">
        <v>35269</v>
      </c>
      <c r="I94" t="s">
        <v>26</v>
      </c>
      <c r="J94">
        <v>80204</v>
      </c>
      <c r="K94" t="s">
        <v>26</v>
      </c>
      <c r="L94" s="3" t="s">
        <v>21</v>
      </c>
      <c r="M94" cm="1">
        <f t="array" ref="M94">_xlfn.IFS(L93="A", 4, L93="B", 3, L93="C", 2, L93="D", 1)</f>
        <v>1</v>
      </c>
    </row>
    <row r="95" spans="1:13" hidden="1" x14ac:dyDescent="0.2">
      <c r="A95">
        <v>2023</v>
      </c>
      <c r="B95">
        <v>80204</v>
      </c>
      <c r="C95" t="s">
        <v>86</v>
      </c>
      <c r="D95" t="s">
        <v>87</v>
      </c>
      <c r="E95" t="s">
        <v>15</v>
      </c>
      <c r="F95" t="s">
        <v>16</v>
      </c>
      <c r="G95">
        <v>16.399999999999999</v>
      </c>
      <c r="H95" s="1">
        <v>35269</v>
      </c>
      <c r="I95" t="s">
        <v>19</v>
      </c>
      <c r="J95">
        <v>80204</v>
      </c>
      <c r="K95" t="s">
        <v>19</v>
      </c>
      <c r="L95" s="3" t="s">
        <v>20</v>
      </c>
      <c r="M95" cm="1">
        <f t="array" ref="M95">_xlfn.IFS(L94="A", 4, L94="B", 3, L94="C", 2, L94="D", 1)</f>
        <v>2</v>
      </c>
    </row>
    <row r="96" spans="1:13" hidden="1" x14ac:dyDescent="0.2">
      <c r="A96">
        <v>2023</v>
      </c>
      <c r="B96">
        <v>80204</v>
      </c>
      <c r="C96" t="s">
        <v>86</v>
      </c>
      <c r="D96" t="s">
        <v>87</v>
      </c>
      <c r="E96" t="s">
        <v>15</v>
      </c>
      <c r="F96" t="s">
        <v>16</v>
      </c>
      <c r="G96">
        <v>16.399999999999999</v>
      </c>
      <c r="H96" s="1">
        <v>35269</v>
      </c>
      <c r="I96" t="s">
        <v>19</v>
      </c>
      <c r="J96">
        <v>80204</v>
      </c>
      <c r="K96" t="s">
        <v>19</v>
      </c>
      <c r="L96" s="3" t="s">
        <v>21</v>
      </c>
      <c r="M96" cm="1">
        <f t="array" ref="M96">_xlfn.IFS(L95="A", 4, L95="B", 3, L95="C", 2, L95="D", 1)</f>
        <v>3</v>
      </c>
    </row>
    <row r="97" spans="1:13" hidden="1" x14ac:dyDescent="0.2">
      <c r="A97">
        <v>2023</v>
      </c>
      <c r="B97">
        <v>80204</v>
      </c>
      <c r="C97" t="s">
        <v>86</v>
      </c>
      <c r="D97" t="s">
        <v>87</v>
      </c>
      <c r="E97" t="s">
        <v>15</v>
      </c>
      <c r="F97" t="s">
        <v>16</v>
      </c>
      <c r="G97">
        <v>16.399999999999999</v>
      </c>
      <c r="H97" s="1">
        <v>35269</v>
      </c>
      <c r="I97" t="s">
        <v>22</v>
      </c>
      <c r="J97">
        <v>80204</v>
      </c>
      <c r="K97" t="s">
        <v>22</v>
      </c>
      <c r="L97" s="3" t="s">
        <v>23</v>
      </c>
      <c r="M97" cm="1">
        <f t="array" ref="M97">_xlfn.IFS(L96="A", 4, L96="B", 3, L96="C", 2, L96="D", 1)</f>
        <v>2</v>
      </c>
    </row>
    <row r="98" spans="1:13" hidden="1" x14ac:dyDescent="0.2">
      <c r="A98">
        <v>2023</v>
      </c>
      <c r="B98">
        <v>80204</v>
      </c>
      <c r="C98" t="s">
        <v>86</v>
      </c>
      <c r="D98" t="s">
        <v>87</v>
      </c>
      <c r="E98" t="s">
        <v>15</v>
      </c>
      <c r="F98" t="s">
        <v>16</v>
      </c>
      <c r="G98">
        <v>16.399999999999999</v>
      </c>
      <c r="H98" s="1">
        <v>35269</v>
      </c>
      <c r="I98" t="s">
        <v>24</v>
      </c>
      <c r="J98">
        <v>80204</v>
      </c>
      <c r="K98" t="s">
        <v>24</v>
      </c>
      <c r="L98" s="3" t="s">
        <v>23</v>
      </c>
      <c r="M98" cm="1">
        <f t="array" ref="M98">_xlfn.IFS(L97="A", 4, L97="B", 3, L97="C", 2, L97="D", 1)</f>
        <v>1</v>
      </c>
    </row>
    <row r="99" spans="1:13" hidden="1" x14ac:dyDescent="0.2">
      <c r="A99">
        <v>2023</v>
      </c>
      <c r="B99">
        <v>80204</v>
      </c>
      <c r="C99" t="s">
        <v>86</v>
      </c>
      <c r="D99" t="s">
        <v>87</v>
      </c>
      <c r="E99" t="s">
        <v>15</v>
      </c>
      <c r="F99" t="s">
        <v>16</v>
      </c>
      <c r="G99">
        <v>16.399999999999999</v>
      </c>
      <c r="H99" s="1">
        <v>35269</v>
      </c>
      <c r="I99" t="s">
        <v>25</v>
      </c>
      <c r="J99">
        <v>80204</v>
      </c>
      <c r="K99" t="s">
        <v>25</v>
      </c>
      <c r="L99" s="3" t="s">
        <v>23</v>
      </c>
      <c r="M99" cm="1">
        <f t="array" ref="M99">_xlfn.IFS(L98="A", 4, L98="B", 3, L98="C", 2, L98="D", 1)</f>
        <v>1</v>
      </c>
    </row>
    <row r="100" spans="1:13" hidden="1" x14ac:dyDescent="0.2">
      <c r="A100">
        <v>2023</v>
      </c>
      <c r="B100">
        <v>80204</v>
      </c>
      <c r="C100" t="s">
        <v>86</v>
      </c>
      <c r="D100" t="s">
        <v>87</v>
      </c>
      <c r="E100" t="s">
        <v>15</v>
      </c>
      <c r="F100" t="s">
        <v>16</v>
      </c>
      <c r="G100">
        <v>16.399999999999999</v>
      </c>
      <c r="H100" s="1">
        <v>35269</v>
      </c>
      <c r="I100" t="s">
        <v>26</v>
      </c>
      <c r="J100">
        <v>80204</v>
      </c>
      <c r="K100" t="s">
        <v>26</v>
      </c>
      <c r="L100" s="3" t="s">
        <v>21</v>
      </c>
      <c r="M100" cm="1">
        <f t="array" ref="M100">_xlfn.IFS(L99="A", 4, L99="B", 3, L99="C", 2, L99="D", 1)</f>
        <v>1</v>
      </c>
    </row>
    <row r="101" spans="1:13" hidden="1" x14ac:dyDescent="0.2">
      <c r="A101">
        <v>2022</v>
      </c>
      <c r="B101">
        <v>80204</v>
      </c>
      <c r="C101" t="s">
        <v>74</v>
      </c>
      <c r="D101" t="s">
        <v>88</v>
      </c>
      <c r="E101" t="s">
        <v>15</v>
      </c>
      <c r="F101" t="s">
        <v>16</v>
      </c>
      <c r="G101">
        <v>58</v>
      </c>
      <c r="H101" s="1">
        <v>35269</v>
      </c>
      <c r="I101" t="s">
        <v>19</v>
      </c>
      <c r="J101">
        <v>80204</v>
      </c>
      <c r="K101" t="s">
        <v>19</v>
      </c>
      <c r="L101" s="3" t="s">
        <v>20</v>
      </c>
      <c r="M101" cm="1">
        <f t="array" ref="M101">_xlfn.IFS(L100="A", 4, L100="B", 3, L100="C", 2, L100="D", 1)</f>
        <v>2</v>
      </c>
    </row>
    <row r="102" spans="1:13" hidden="1" x14ac:dyDescent="0.2">
      <c r="A102">
        <v>2022</v>
      </c>
      <c r="B102">
        <v>80204</v>
      </c>
      <c r="C102" t="s">
        <v>74</v>
      </c>
      <c r="D102" t="s">
        <v>88</v>
      </c>
      <c r="E102" t="s">
        <v>15</v>
      </c>
      <c r="F102" t="s">
        <v>16</v>
      </c>
      <c r="G102">
        <v>58</v>
      </c>
      <c r="H102" s="1">
        <v>35269</v>
      </c>
      <c r="I102" t="s">
        <v>19</v>
      </c>
      <c r="J102">
        <v>80204</v>
      </c>
      <c r="K102" t="s">
        <v>19</v>
      </c>
      <c r="L102" s="3" t="s">
        <v>21</v>
      </c>
      <c r="M102" cm="1">
        <f t="array" ref="M102">_xlfn.IFS(L101="A", 4, L101="B", 3, L101="C", 2, L101="D", 1)</f>
        <v>3</v>
      </c>
    </row>
    <row r="103" spans="1:13" hidden="1" x14ac:dyDescent="0.2">
      <c r="A103">
        <v>2022</v>
      </c>
      <c r="B103">
        <v>80204</v>
      </c>
      <c r="C103" t="s">
        <v>74</v>
      </c>
      <c r="D103" t="s">
        <v>88</v>
      </c>
      <c r="E103" t="s">
        <v>15</v>
      </c>
      <c r="F103" t="s">
        <v>16</v>
      </c>
      <c r="G103">
        <v>58</v>
      </c>
      <c r="H103" s="1">
        <v>35269</v>
      </c>
      <c r="I103" t="s">
        <v>22</v>
      </c>
      <c r="J103">
        <v>80204</v>
      </c>
      <c r="K103" t="s">
        <v>22</v>
      </c>
      <c r="L103" s="3" t="s">
        <v>23</v>
      </c>
      <c r="M103" cm="1">
        <f t="array" ref="M103">_xlfn.IFS(L102="A", 4, L102="B", 3, L102="C", 2, L102="D", 1)</f>
        <v>2</v>
      </c>
    </row>
    <row r="104" spans="1:13" hidden="1" x14ac:dyDescent="0.2">
      <c r="A104">
        <v>2022</v>
      </c>
      <c r="B104">
        <v>80204</v>
      </c>
      <c r="C104" t="s">
        <v>74</v>
      </c>
      <c r="D104" t="s">
        <v>88</v>
      </c>
      <c r="E104" t="s">
        <v>15</v>
      </c>
      <c r="F104" t="s">
        <v>16</v>
      </c>
      <c r="G104">
        <v>58</v>
      </c>
      <c r="H104" s="1">
        <v>35269</v>
      </c>
      <c r="I104" t="s">
        <v>24</v>
      </c>
      <c r="J104">
        <v>80204</v>
      </c>
      <c r="K104" t="s">
        <v>24</v>
      </c>
      <c r="L104" s="3" t="s">
        <v>23</v>
      </c>
      <c r="M104" cm="1">
        <f t="array" ref="M104">_xlfn.IFS(L103="A", 4, L103="B", 3, L103="C", 2, L103="D", 1)</f>
        <v>1</v>
      </c>
    </row>
    <row r="105" spans="1:13" hidden="1" x14ac:dyDescent="0.2">
      <c r="A105">
        <v>2022</v>
      </c>
      <c r="B105">
        <v>80204</v>
      </c>
      <c r="C105" t="s">
        <v>74</v>
      </c>
      <c r="D105" t="s">
        <v>88</v>
      </c>
      <c r="E105" t="s">
        <v>15</v>
      </c>
      <c r="F105" t="s">
        <v>16</v>
      </c>
      <c r="G105">
        <v>58</v>
      </c>
      <c r="H105" s="1">
        <v>35269</v>
      </c>
      <c r="I105" t="s">
        <v>25</v>
      </c>
      <c r="J105">
        <v>80204</v>
      </c>
      <c r="K105" t="s">
        <v>25</v>
      </c>
      <c r="L105" s="3" t="s">
        <v>23</v>
      </c>
      <c r="M105" cm="1">
        <f t="array" ref="M105">_xlfn.IFS(L104="A", 4, L104="B", 3, L104="C", 2, L104="D", 1)</f>
        <v>1</v>
      </c>
    </row>
    <row r="106" spans="1:13" hidden="1" x14ac:dyDescent="0.2">
      <c r="A106">
        <v>2022</v>
      </c>
      <c r="B106">
        <v>80204</v>
      </c>
      <c r="C106" t="s">
        <v>74</v>
      </c>
      <c r="D106" t="s">
        <v>88</v>
      </c>
      <c r="E106" t="s">
        <v>15</v>
      </c>
      <c r="F106" t="s">
        <v>16</v>
      </c>
      <c r="G106">
        <v>58</v>
      </c>
      <c r="H106" s="1">
        <v>35269</v>
      </c>
      <c r="I106" t="s">
        <v>26</v>
      </c>
      <c r="J106">
        <v>80204</v>
      </c>
      <c r="K106" t="s">
        <v>26</v>
      </c>
      <c r="L106" s="3" t="s">
        <v>21</v>
      </c>
      <c r="M106" cm="1">
        <f t="array" ref="M106">_xlfn.IFS(L105="A", 4, L105="B", 3, L105="C", 2, L105="D", 1)</f>
        <v>1</v>
      </c>
    </row>
    <row r="107" spans="1:13" hidden="1" x14ac:dyDescent="0.2">
      <c r="A107">
        <v>2023</v>
      </c>
      <c r="B107">
        <v>80204</v>
      </c>
      <c r="C107" t="s">
        <v>13</v>
      </c>
      <c r="D107" t="s">
        <v>89</v>
      </c>
      <c r="E107" t="s">
        <v>15</v>
      </c>
      <c r="F107" t="s">
        <v>16</v>
      </c>
      <c r="G107">
        <v>4.4000000000000004</v>
      </c>
      <c r="H107" s="1">
        <v>35269</v>
      </c>
      <c r="I107" t="s">
        <v>19</v>
      </c>
      <c r="J107">
        <v>80204</v>
      </c>
      <c r="K107" t="s">
        <v>19</v>
      </c>
      <c r="L107" s="3" t="s">
        <v>20</v>
      </c>
      <c r="M107" cm="1">
        <f t="array" ref="M107">_xlfn.IFS(L106="A", 4, L106="B", 3, L106="C", 2, L106="D", 1)</f>
        <v>2</v>
      </c>
    </row>
    <row r="108" spans="1:13" hidden="1" x14ac:dyDescent="0.2">
      <c r="A108">
        <v>2023</v>
      </c>
      <c r="B108">
        <v>80204</v>
      </c>
      <c r="C108" t="s">
        <v>13</v>
      </c>
      <c r="D108" t="s">
        <v>89</v>
      </c>
      <c r="E108" t="s">
        <v>15</v>
      </c>
      <c r="F108" t="s">
        <v>16</v>
      </c>
      <c r="G108">
        <v>4.4000000000000004</v>
      </c>
      <c r="H108" s="1">
        <v>35269</v>
      </c>
      <c r="I108" t="s">
        <v>19</v>
      </c>
      <c r="J108">
        <v>80204</v>
      </c>
      <c r="K108" t="s">
        <v>19</v>
      </c>
      <c r="L108" s="3" t="s">
        <v>21</v>
      </c>
      <c r="M108" cm="1">
        <f t="array" ref="M108">_xlfn.IFS(L107="A", 4, L107="B", 3, L107="C", 2, L107="D", 1)</f>
        <v>3</v>
      </c>
    </row>
    <row r="109" spans="1:13" hidden="1" x14ac:dyDescent="0.2">
      <c r="A109">
        <v>2023</v>
      </c>
      <c r="B109">
        <v>80204</v>
      </c>
      <c r="C109" t="s">
        <v>13</v>
      </c>
      <c r="D109" t="s">
        <v>89</v>
      </c>
      <c r="E109" t="s">
        <v>15</v>
      </c>
      <c r="F109" t="s">
        <v>16</v>
      </c>
      <c r="G109">
        <v>4.4000000000000004</v>
      </c>
      <c r="H109" s="1">
        <v>35269</v>
      </c>
      <c r="I109" t="s">
        <v>22</v>
      </c>
      <c r="J109">
        <v>80204</v>
      </c>
      <c r="K109" t="s">
        <v>22</v>
      </c>
      <c r="L109" s="3" t="s">
        <v>23</v>
      </c>
      <c r="M109" cm="1">
        <f t="array" ref="M109">_xlfn.IFS(L108="A", 4, L108="B", 3, L108="C", 2, L108="D", 1)</f>
        <v>2</v>
      </c>
    </row>
    <row r="110" spans="1:13" hidden="1" x14ac:dyDescent="0.2">
      <c r="A110">
        <v>2023</v>
      </c>
      <c r="B110">
        <v>80204</v>
      </c>
      <c r="C110" t="s">
        <v>13</v>
      </c>
      <c r="D110" t="s">
        <v>89</v>
      </c>
      <c r="E110" t="s">
        <v>15</v>
      </c>
      <c r="F110" t="s">
        <v>16</v>
      </c>
      <c r="G110">
        <v>4.4000000000000004</v>
      </c>
      <c r="H110" s="1">
        <v>35269</v>
      </c>
      <c r="I110" t="s">
        <v>24</v>
      </c>
      <c r="J110">
        <v>80204</v>
      </c>
      <c r="K110" t="s">
        <v>24</v>
      </c>
      <c r="L110" s="3" t="s">
        <v>23</v>
      </c>
      <c r="M110" cm="1">
        <f t="array" ref="M110">_xlfn.IFS(L109="A", 4, L109="B", 3, L109="C", 2, L109="D", 1)</f>
        <v>1</v>
      </c>
    </row>
    <row r="111" spans="1:13" hidden="1" x14ac:dyDescent="0.2">
      <c r="A111">
        <v>2023</v>
      </c>
      <c r="B111">
        <v>80204</v>
      </c>
      <c r="C111" t="s">
        <v>13</v>
      </c>
      <c r="D111" t="s">
        <v>89</v>
      </c>
      <c r="E111" t="s">
        <v>15</v>
      </c>
      <c r="F111" t="s">
        <v>16</v>
      </c>
      <c r="G111">
        <v>4.4000000000000004</v>
      </c>
      <c r="H111" s="1">
        <v>35269</v>
      </c>
      <c r="I111" t="s">
        <v>25</v>
      </c>
      <c r="J111">
        <v>80204</v>
      </c>
      <c r="K111" t="s">
        <v>25</v>
      </c>
      <c r="L111" s="3" t="s">
        <v>23</v>
      </c>
      <c r="M111" cm="1">
        <f t="array" ref="M111">_xlfn.IFS(L110="A", 4, L110="B", 3, L110="C", 2, L110="D", 1)</f>
        <v>1</v>
      </c>
    </row>
    <row r="112" spans="1:13" hidden="1" x14ac:dyDescent="0.2">
      <c r="A112">
        <v>2023</v>
      </c>
      <c r="B112">
        <v>80204</v>
      </c>
      <c r="C112" t="s">
        <v>13</v>
      </c>
      <c r="D112" t="s">
        <v>89</v>
      </c>
      <c r="E112" t="s">
        <v>15</v>
      </c>
      <c r="F112" t="s">
        <v>16</v>
      </c>
      <c r="G112">
        <v>4.4000000000000004</v>
      </c>
      <c r="H112" s="1">
        <v>35269</v>
      </c>
      <c r="I112" t="s">
        <v>26</v>
      </c>
      <c r="J112">
        <v>80204</v>
      </c>
      <c r="K112" t="s">
        <v>26</v>
      </c>
      <c r="L112" s="3" t="s">
        <v>21</v>
      </c>
      <c r="M112" cm="1">
        <f t="array" ref="M112">_xlfn.IFS(L111="A", 4, L111="B", 3, L111="C", 2, L111="D", 1)</f>
        <v>1</v>
      </c>
    </row>
    <row r="113" spans="1:13" hidden="1" x14ac:dyDescent="0.2">
      <c r="A113">
        <v>2023</v>
      </c>
      <c r="B113">
        <v>80204</v>
      </c>
      <c r="C113" t="s">
        <v>77</v>
      </c>
      <c r="D113" t="s">
        <v>90</v>
      </c>
      <c r="E113" t="s">
        <v>15</v>
      </c>
      <c r="F113" t="s">
        <v>16</v>
      </c>
      <c r="G113">
        <v>12.2</v>
      </c>
      <c r="H113" s="1">
        <v>35269</v>
      </c>
      <c r="I113" t="s">
        <v>19</v>
      </c>
      <c r="J113">
        <v>80204</v>
      </c>
      <c r="K113" t="s">
        <v>19</v>
      </c>
      <c r="L113" s="3" t="s">
        <v>20</v>
      </c>
      <c r="M113" cm="1">
        <f t="array" ref="M113">_xlfn.IFS(L112="A", 4, L112="B", 3, L112="C", 2, L112="D", 1)</f>
        <v>2</v>
      </c>
    </row>
    <row r="114" spans="1:13" hidden="1" x14ac:dyDescent="0.2">
      <c r="A114">
        <v>2023</v>
      </c>
      <c r="B114">
        <v>80204</v>
      </c>
      <c r="C114" t="s">
        <v>77</v>
      </c>
      <c r="D114" t="s">
        <v>90</v>
      </c>
      <c r="E114" t="s">
        <v>15</v>
      </c>
      <c r="F114" t="s">
        <v>16</v>
      </c>
      <c r="G114">
        <v>12.2</v>
      </c>
      <c r="H114" s="1">
        <v>35269</v>
      </c>
      <c r="I114" t="s">
        <v>19</v>
      </c>
      <c r="J114">
        <v>80204</v>
      </c>
      <c r="K114" t="s">
        <v>19</v>
      </c>
      <c r="L114" s="3" t="s">
        <v>21</v>
      </c>
      <c r="M114" cm="1">
        <f t="array" ref="M114">_xlfn.IFS(L113="A", 4, L113="B", 3, L113="C", 2, L113="D", 1)</f>
        <v>3</v>
      </c>
    </row>
    <row r="115" spans="1:13" hidden="1" x14ac:dyDescent="0.2">
      <c r="A115">
        <v>2023</v>
      </c>
      <c r="B115">
        <v>80204</v>
      </c>
      <c r="C115" t="s">
        <v>77</v>
      </c>
      <c r="D115" t="s">
        <v>90</v>
      </c>
      <c r="E115" t="s">
        <v>15</v>
      </c>
      <c r="F115" t="s">
        <v>16</v>
      </c>
      <c r="G115">
        <v>12.2</v>
      </c>
      <c r="H115" s="1">
        <v>35269</v>
      </c>
      <c r="I115" t="s">
        <v>22</v>
      </c>
      <c r="J115">
        <v>80204</v>
      </c>
      <c r="K115" t="s">
        <v>22</v>
      </c>
      <c r="L115" s="3" t="s">
        <v>23</v>
      </c>
      <c r="M115" cm="1">
        <f t="array" ref="M115">_xlfn.IFS(L114="A", 4, L114="B", 3, L114="C", 2, L114="D", 1)</f>
        <v>2</v>
      </c>
    </row>
    <row r="116" spans="1:13" hidden="1" x14ac:dyDescent="0.2">
      <c r="A116">
        <v>2023</v>
      </c>
      <c r="B116">
        <v>80204</v>
      </c>
      <c r="C116" t="s">
        <v>77</v>
      </c>
      <c r="D116" t="s">
        <v>90</v>
      </c>
      <c r="E116" t="s">
        <v>15</v>
      </c>
      <c r="F116" t="s">
        <v>16</v>
      </c>
      <c r="G116">
        <v>12.2</v>
      </c>
      <c r="H116" s="1">
        <v>35269</v>
      </c>
      <c r="I116" t="s">
        <v>24</v>
      </c>
      <c r="J116">
        <v>80204</v>
      </c>
      <c r="K116" t="s">
        <v>24</v>
      </c>
      <c r="L116" s="3" t="s">
        <v>23</v>
      </c>
      <c r="M116" cm="1">
        <f t="array" ref="M116">_xlfn.IFS(L115="A", 4, L115="B", 3, L115="C", 2, L115="D", 1)</f>
        <v>1</v>
      </c>
    </row>
    <row r="117" spans="1:13" hidden="1" x14ac:dyDescent="0.2">
      <c r="A117">
        <v>2023</v>
      </c>
      <c r="B117">
        <v>80204</v>
      </c>
      <c r="C117" t="s">
        <v>77</v>
      </c>
      <c r="D117" t="s">
        <v>90</v>
      </c>
      <c r="E117" t="s">
        <v>15</v>
      </c>
      <c r="F117" t="s">
        <v>16</v>
      </c>
      <c r="G117">
        <v>12.2</v>
      </c>
      <c r="H117" s="1">
        <v>35269</v>
      </c>
      <c r="I117" t="s">
        <v>25</v>
      </c>
      <c r="J117">
        <v>80204</v>
      </c>
      <c r="K117" t="s">
        <v>25</v>
      </c>
      <c r="L117" s="3" t="s">
        <v>23</v>
      </c>
      <c r="M117" cm="1">
        <f t="array" ref="M117">_xlfn.IFS(L116="A", 4, L116="B", 3, L116="C", 2, L116="D", 1)</f>
        <v>1</v>
      </c>
    </row>
    <row r="118" spans="1:13" hidden="1" x14ac:dyDescent="0.2">
      <c r="A118">
        <v>2023</v>
      </c>
      <c r="B118">
        <v>80204</v>
      </c>
      <c r="C118" t="s">
        <v>77</v>
      </c>
      <c r="D118" t="s">
        <v>90</v>
      </c>
      <c r="E118" t="s">
        <v>15</v>
      </c>
      <c r="F118" t="s">
        <v>16</v>
      </c>
      <c r="G118">
        <v>12.2</v>
      </c>
      <c r="H118" s="1">
        <v>35269</v>
      </c>
      <c r="I118" t="s">
        <v>26</v>
      </c>
      <c r="J118">
        <v>80204</v>
      </c>
      <c r="K118" t="s">
        <v>26</v>
      </c>
      <c r="L118" s="3" t="s">
        <v>21</v>
      </c>
      <c r="M118" cm="1">
        <f t="array" ref="M118">_xlfn.IFS(L117="A", 4, L117="B", 3, L117="C", 2, L117="D", 1)</f>
        <v>1</v>
      </c>
    </row>
    <row r="119" spans="1:13" hidden="1" x14ac:dyDescent="0.2">
      <c r="A119">
        <v>2022</v>
      </c>
      <c r="B119">
        <v>80204</v>
      </c>
      <c r="C119" t="s">
        <v>74</v>
      </c>
      <c r="D119" t="s">
        <v>91</v>
      </c>
      <c r="E119" t="s">
        <v>15</v>
      </c>
      <c r="F119" t="s">
        <v>16</v>
      </c>
      <c r="G119">
        <v>59.1</v>
      </c>
      <c r="H119" s="1">
        <v>35269</v>
      </c>
      <c r="I119" t="s">
        <v>19</v>
      </c>
      <c r="J119">
        <v>80204</v>
      </c>
      <c r="K119" t="s">
        <v>19</v>
      </c>
      <c r="L119" s="3" t="s">
        <v>20</v>
      </c>
      <c r="M119" cm="1">
        <f t="array" ref="M119">_xlfn.IFS(L118="A", 4, L118="B", 3, L118="C", 2, L118="D", 1)</f>
        <v>2</v>
      </c>
    </row>
    <row r="120" spans="1:13" hidden="1" x14ac:dyDescent="0.2">
      <c r="A120">
        <v>2022</v>
      </c>
      <c r="B120">
        <v>80204</v>
      </c>
      <c r="C120" t="s">
        <v>74</v>
      </c>
      <c r="D120" t="s">
        <v>91</v>
      </c>
      <c r="E120" t="s">
        <v>15</v>
      </c>
      <c r="F120" t="s">
        <v>16</v>
      </c>
      <c r="G120">
        <v>59.1</v>
      </c>
      <c r="H120" s="1">
        <v>35269</v>
      </c>
      <c r="I120" t="s">
        <v>19</v>
      </c>
      <c r="J120">
        <v>80204</v>
      </c>
      <c r="K120" t="s">
        <v>19</v>
      </c>
      <c r="L120" s="3" t="s">
        <v>21</v>
      </c>
      <c r="M120" cm="1">
        <f t="array" ref="M120">_xlfn.IFS(L119="A", 4, L119="B", 3, L119="C", 2, L119="D", 1)</f>
        <v>3</v>
      </c>
    </row>
    <row r="121" spans="1:13" hidden="1" x14ac:dyDescent="0.2">
      <c r="A121">
        <v>2022</v>
      </c>
      <c r="B121">
        <v>80204</v>
      </c>
      <c r="C121" t="s">
        <v>74</v>
      </c>
      <c r="D121" t="s">
        <v>91</v>
      </c>
      <c r="E121" t="s">
        <v>15</v>
      </c>
      <c r="F121" t="s">
        <v>16</v>
      </c>
      <c r="G121">
        <v>59.1</v>
      </c>
      <c r="H121" s="1">
        <v>35269</v>
      </c>
      <c r="I121" t="s">
        <v>22</v>
      </c>
      <c r="J121">
        <v>80204</v>
      </c>
      <c r="K121" t="s">
        <v>22</v>
      </c>
      <c r="L121" s="3" t="s">
        <v>23</v>
      </c>
      <c r="M121" cm="1">
        <f t="array" ref="M121">_xlfn.IFS(L120="A", 4, L120="B", 3, L120="C", 2, L120="D", 1)</f>
        <v>2</v>
      </c>
    </row>
    <row r="122" spans="1:13" hidden="1" x14ac:dyDescent="0.2">
      <c r="A122">
        <v>2022</v>
      </c>
      <c r="B122">
        <v>80204</v>
      </c>
      <c r="C122" t="s">
        <v>74</v>
      </c>
      <c r="D122" t="s">
        <v>91</v>
      </c>
      <c r="E122" t="s">
        <v>15</v>
      </c>
      <c r="F122" t="s">
        <v>16</v>
      </c>
      <c r="G122">
        <v>59.1</v>
      </c>
      <c r="H122" s="1">
        <v>35269</v>
      </c>
      <c r="I122" t="s">
        <v>24</v>
      </c>
      <c r="J122">
        <v>80204</v>
      </c>
      <c r="K122" t="s">
        <v>24</v>
      </c>
      <c r="L122" s="3" t="s">
        <v>23</v>
      </c>
      <c r="M122" cm="1">
        <f t="array" ref="M122">_xlfn.IFS(L121="A", 4, L121="B", 3, L121="C", 2, L121="D", 1)</f>
        <v>1</v>
      </c>
    </row>
    <row r="123" spans="1:13" hidden="1" x14ac:dyDescent="0.2">
      <c r="A123">
        <v>2022</v>
      </c>
      <c r="B123">
        <v>80204</v>
      </c>
      <c r="C123" t="s">
        <v>74</v>
      </c>
      <c r="D123" t="s">
        <v>91</v>
      </c>
      <c r="E123" t="s">
        <v>15</v>
      </c>
      <c r="F123" t="s">
        <v>16</v>
      </c>
      <c r="G123">
        <v>59.1</v>
      </c>
      <c r="H123" s="1">
        <v>35269</v>
      </c>
      <c r="I123" t="s">
        <v>25</v>
      </c>
      <c r="J123">
        <v>80204</v>
      </c>
      <c r="K123" t="s">
        <v>25</v>
      </c>
      <c r="L123" s="3" t="s">
        <v>23</v>
      </c>
      <c r="M123" cm="1">
        <f t="array" ref="M123">_xlfn.IFS(L122="A", 4, L122="B", 3, L122="C", 2, L122="D", 1)</f>
        <v>1</v>
      </c>
    </row>
    <row r="124" spans="1:13" hidden="1" x14ac:dyDescent="0.2">
      <c r="A124">
        <v>2022</v>
      </c>
      <c r="B124">
        <v>80204</v>
      </c>
      <c r="C124" t="s">
        <v>74</v>
      </c>
      <c r="D124" t="s">
        <v>91</v>
      </c>
      <c r="E124" t="s">
        <v>15</v>
      </c>
      <c r="F124" t="s">
        <v>16</v>
      </c>
      <c r="G124">
        <v>59.1</v>
      </c>
      <c r="H124" s="1">
        <v>35269</v>
      </c>
      <c r="I124" t="s">
        <v>26</v>
      </c>
      <c r="J124">
        <v>80204</v>
      </c>
      <c r="K124" t="s">
        <v>26</v>
      </c>
      <c r="L124" s="3" t="s">
        <v>21</v>
      </c>
      <c r="M124" cm="1">
        <f t="array" ref="M124">_xlfn.IFS(L123="A", 4, L123="B", 3, L123="C", 2, L123="D", 1)</f>
        <v>1</v>
      </c>
    </row>
    <row r="125" spans="1:13" hidden="1" x14ac:dyDescent="0.2">
      <c r="A125">
        <v>2023</v>
      </c>
      <c r="B125">
        <v>80204</v>
      </c>
      <c r="C125" t="s">
        <v>13</v>
      </c>
      <c r="D125" t="s">
        <v>92</v>
      </c>
      <c r="E125" t="s">
        <v>15</v>
      </c>
      <c r="F125" t="s">
        <v>16</v>
      </c>
      <c r="G125">
        <v>23.6</v>
      </c>
      <c r="H125" s="1">
        <v>35269</v>
      </c>
      <c r="I125" t="s">
        <v>19</v>
      </c>
      <c r="J125">
        <v>80204</v>
      </c>
      <c r="K125" t="s">
        <v>19</v>
      </c>
      <c r="L125" s="3" t="s">
        <v>20</v>
      </c>
      <c r="M125" cm="1">
        <f t="array" ref="M125">_xlfn.IFS(L124="A", 4, L124="B", 3, L124="C", 2, L124="D", 1)</f>
        <v>2</v>
      </c>
    </row>
    <row r="126" spans="1:13" hidden="1" x14ac:dyDescent="0.2">
      <c r="A126">
        <v>2023</v>
      </c>
      <c r="B126">
        <v>80204</v>
      </c>
      <c r="C126" t="s">
        <v>13</v>
      </c>
      <c r="D126" t="s">
        <v>92</v>
      </c>
      <c r="E126" t="s">
        <v>15</v>
      </c>
      <c r="F126" t="s">
        <v>16</v>
      </c>
      <c r="G126">
        <v>23.6</v>
      </c>
      <c r="H126" s="1">
        <v>35269</v>
      </c>
      <c r="I126" t="s">
        <v>19</v>
      </c>
      <c r="J126">
        <v>80204</v>
      </c>
      <c r="K126" t="s">
        <v>19</v>
      </c>
      <c r="L126" s="3" t="s">
        <v>21</v>
      </c>
      <c r="M126" cm="1">
        <f t="array" ref="M126">_xlfn.IFS(L125="A", 4, L125="B", 3, L125="C", 2, L125="D", 1)</f>
        <v>3</v>
      </c>
    </row>
    <row r="127" spans="1:13" hidden="1" x14ac:dyDescent="0.2">
      <c r="A127">
        <v>2023</v>
      </c>
      <c r="B127">
        <v>80204</v>
      </c>
      <c r="C127" t="s">
        <v>13</v>
      </c>
      <c r="D127" t="s">
        <v>92</v>
      </c>
      <c r="E127" t="s">
        <v>15</v>
      </c>
      <c r="F127" t="s">
        <v>16</v>
      </c>
      <c r="G127">
        <v>23.6</v>
      </c>
      <c r="H127" s="1">
        <v>35269</v>
      </c>
      <c r="I127" t="s">
        <v>22</v>
      </c>
      <c r="J127">
        <v>80204</v>
      </c>
      <c r="K127" t="s">
        <v>22</v>
      </c>
      <c r="L127" s="3" t="s">
        <v>23</v>
      </c>
      <c r="M127" cm="1">
        <f t="array" ref="M127">_xlfn.IFS(L126="A", 4, L126="B", 3, L126="C", 2, L126="D", 1)</f>
        <v>2</v>
      </c>
    </row>
    <row r="128" spans="1:13" hidden="1" x14ac:dyDescent="0.2">
      <c r="A128">
        <v>2023</v>
      </c>
      <c r="B128">
        <v>80204</v>
      </c>
      <c r="C128" t="s">
        <v>13</v>
      </c>
      <c r="D128" t="s">
        <v>92</v>
      </c>
      <c r="E128" t="s">
        <v>15</v>
      </c>
      <c r="F128" t="s">
        <v>16</v>
      </c>
      <c r="G128">
        <v>23.6</v>
      </c>
      <c r="H128" s="1">
        <v>35269</v>
      </c>
      <c r="I128" t="s">
        <v>24</v>
      </c>
      <c r="J128">
        <v>80204</v>
      </c>
      <c r="K128" t="s">
        <v>24</v>
      </c>
      <c r="L128" s="3" t="s">
        <v>23</v>
      </c>
      <c r="M128" cm="1">
        <f t="array" ref="M128">_xlfn.IFS(L127="A", 4, L127="B", 3, L127="C", 2, L127="D", 1)</f>
        <v>1</v>
      </c>
    </row>
    <row r="129" spans="1:13" hidden="1" x14ac:dyDescent="0.2">
      <c r="A129">
        <v>2023</v>
      </c>
      <c r="B129">
        <v>80204</v>
      </c>
      <c r="C129" t="s">
        <v>13</v>
      </c>
      <c r="D129" t="s">
        <v>92</v>
      </c>
      <c r="E129" t="s">
        <v>15</v>
      </c>
      <c r="F129" t="s">
        <v>16</v>
      </c>
      <c r="G129">
        <v>23.6</v>
      </c>
      <c r="H129" s="1">
        <v>35269</v>
      </c>
      <c r="I129" t="s">
        <v>25</v>
      </c>
      <c r="J129">
        <v>80204</v>
      </c>
      <c r="K129" t="s">
        <v>25</v>
      </c>
      <c r="L129" s="3" t="s">
        <v>23</v>
      </c>
      <c r="M129" cm="1">
        <f t="array" ref="M129">_xlfn.IFS(L128="A", 4, L128="B", 3, L128="C", 2, L128="D", 1)</f>
        <v>1</v>
      </c>
    </row>
    <row r="130" spans="1:13" hidden="1" x14ac:dyDescent="0.2">
      <c r="A130">
        <v>2023</v>
      </c>
      <c r="B130">
        <v>80204</v>
      </c>
      <c r="C130" t="s">
        <v>13</v>
      </c>
      <c r="D130" t="s">
        <v>92</v>
      </c>
      <c r="E130" t="s">
        <v>15</v>
      </c>
      <c r="F130" t="s">
        <v>16</v>
      </c>
      <c r="G130">
        <v>23.6</v>
      </c>
      <c r="H130" s="1">
        <v>35269</v>
      </c>
      <c r="I130" t="s">
        <v>26</v>
      </c>
      <c r="J130">
        <v>80204</v>
      </c>
      <c r="K130" t="s">
        <v>26</v>
      </c>
      <c r="L130" s="3" t="s">
        <v>21</v>
      </c>
      <c r="M130" cm="1">
        <f t="array" ref="M130">_xlfn.IFS(L129="A", 4, L129="B", 3, L129="C", 2, L129="D", 1)</f>
        <v>1</v>
      </c>
    </row>
    <row r="131" spans="1:13" hidden="1" x14ac:dyDescent="0.2">
      <c r="A131">
        <v>2023</v>
      </c>
      <c r="B131">
        <v>80204</v>
      </c>
      <c r="C131" t="s">
        <v>13</v>
      </c>
      <c r="D131" t="s">
        <v>14</v>
      </c>
      <c r="E131" t="s">
        <v>15</v>
      </c>
      <c r="F131" t="s">
        <v>16</v>
      </c>
      <c r="G131">
        <v>7.6</v>
      </c>
      <c r="H131" s="1">
        <v>35269</v>
      </c>
      <c r="I131" t="s">
        <v>19</v>
      </c>
      <c r="J131">
        <v>80204</v>
      </c>
      <c r="K131" t="s">
        <v>19</v>
      </c>
      <c r="L131" s="3" t="s">
        <v>20</v>
      </c>
      <c r="M131" cm="1">
        <f t="array" ref="M131">_xlfn.IFS(L130="A", 4, L130="B", 3, L130="C", 2, L130="D", 1)</f>
        <v>2</v>
      </c>
    </row>
    <row r="132" spans="1:13" hidden="1" x14ac:dyDescent="0.2">
      <c r="A132">
        <v>2023</v>
      </c>
      <c r="B132">
        <v>80204</v>
      </c>
      <c r="C132" t="s">
        <v>13</v>
      </c>
      <c r="D132" t="s">
        <v>14</v>
      </c>
      <c r="E132" t="s">
        <v>15</v>
      </c>
      <c r="F132" t="s">
        <v>16</v>
      </c>
      <c r="G132">
        <v>7.6</v>
      </c>
      <c r="H132" s="1">
        <v>35269</v>
      </c>
      <c r="I132" t="s">
        <v>19</v>
      </c>
      <c r="J132">
        <v>80204</v>
      </c>
      <c r="K132" t="s">
        <v>19</v>
      </c>
      <c r="L132" s="3" t="s">
        <v>21</v>
      </c>
      <c r="M132" cm="1">
        <f t="array" ref="M132">_xlfn.IFS(L131="A", 4, L131="B", 3, L131="C", 2, L131="D", 1)</f>
        <v>3</v>
      </c>
    </row>
    <row r="133" spans="1:13" hidden="1" x14ac:dyDescent="0.2">
      <c r="A133">
        <v>2023</v>
      </c>
      <c r="B133">
        <v>80204</v>
      </c>
      <c r="C133" t="s">
        <v>13</v>
      </c>
      <c r="D133" t="s">
        <v>14</v>
      </c>
      <c r="E133" t="s">
        <v>15</v>
      </c>
      <c r="F133" t="s">
        <v>16</v>
      </c>
      <c r="G133">
        <v>7.6</v>
      </c>
      <c r="H133" s="1">
        <v>35269</v>
      </c>
      <c r="I133" t="s">
        <v>22</v>
      </c>
      <c r="J133">
        <v>80204</v>
      </c>
      <c r="K133" t="s">
        <v>22</v>
      </c>
      <c r="L133" s="3" t="s">
        <v>23</v>
      </c>
      <c r="M133" cm="1">
        <f t="array" ref="M133">_xlfn.IFS(L132="A", 4, L132="B", 3, L132="C", 2, L132="D", 1)</f>
        <v>2</v>
      </c>
    </row>
    <row r="134" spans="1:13" hidden="1" x14ac:dyDescent="0.2">
      <c r="A134">
        <v>2023</v>
      </c>
      <c r="B134">
        <v>80204</v>
      </c>
      <c r="C134" t="s">
        <v>13</v>
      </c>
      <c r="D134" t="s">
        <v>14</v>
      </c>
      <c r="E134" t="s">
        <v>15</v>
      </c>
      <c r="F134" t="s">
        <v>16</v>
      </c>
      <c r="G134">
        <v>7.6</v>
      </c>
      <c r="H134" s="1">
        <v>35269</v>
      </c>
      <c r="I134" t="s">
        <v>24</v>
      </c>
      <c r="J134">
        <v>80204</v>
      </c>
      <c r="K134" t="s">
        <v>24</v>
      </c>
      <c r="L134" s="3" t="s">
        <v>23</v>
      </c>
      <c r="M134" cm="1">
        <f t="array" ref="M134">_xlfn.IFS(L133="A", 4, L133="B", 3, L133="C", 2, L133="D", 1)</f>
        <v>1</v>
      </c>
    </row>
    <row r="135" spans="1:13" hidden="1" x14ac:dyDescent="0.2">
      <c r="A135">
        <v>2023</v>
      </c>
      <c r="B135">
        <v>80204</v>
      </c>
      <c r="C135" t="s">
        <v>13</v>
      </c>
      <c r="D135" t="s">
        <v>14</v>
      </c>
      <c r="E135" t="s">
        <v>15</v>
      </c>
      <c r="F135" t="s">
        <v>16</v>
      </c>
      <c r="G135">
        <v>7.6</v>
      </c>
      <c r="H135" s="1">
        <v>35269</v>
      </c>
      <c r="I135" t="s">
        <v>25</v>
      </c>
      <c r="J135">
        <v>80204</v>
      </c>
      <c r="K135" t="s">
        <v>25</v>
      </c>
      <c r="L135" s="3" t="s">
        <v>23</v>
      </c>
      <c r="M135" cm="1">
        <f t="array" ref="M135">_xlfn.IFS(L134="A", 4, L134="B", 3, L134="C", 2, L134="D", 1)</f>
        <v>1</v>
      </c>
    </row>
    <row r="136" spans="1:13" hidden="1" x14ac:dyDescent="0.2">
      <c r="A136">
        <v>2023</v>
      </c>
      <c r="B136">
        <v>80204</v>
      </c>
      <c r="C136" t="s">
        <v>13</v>
      </c>
      <c r="D136" t="s">
        <v>14</v>
      </c>
      <c r="E136" t="s">
        <v>15</v>
      </c>
      <c r="F136" t="s">
        <v>16</v>
      </c>
      <c r="G136">
        <v>7.6</v>
      </c>
      <c r="H136" s="1">
        <v>35269</v>
      </c>
      <c r="I136" t="s">
        <v>26</v>
      </c>
      <c r="J136">
        <v>80204</v>
      </c>
      <c r="K136" t="s">
        <v>26</v>
      </c>
      <c r="L136" s="3" t="s">
        <v>21</v>
      </c>
      <c r="M136" cm="1">
        <f t="array" ref="M136">_xlfn.IFS(L135="A", 4, L135="B", 3, L135="C", 2, L135="D", 1)</f>
        <v>1</v>
      </c>
    </row>
    <row r="137" spans="1:13" hidden="1" x14ac:dyDescent="0.2">
      <c r="A137">
        <v>2023</v>
      </c>
      <c r="B137">
        <v>80204</v>
      </c>
      <c r="C137" t="s">
        <v>86</v>
      </c>
      <c r="D137" t="s">
        <v>93</v>
      </c>
      <c r="E137" t="s">
        <v>15</v>
      </c>
      <c r="F137" t="s">
        <v>16</v>
      </c>
      <c r="G137">
        <v>28</v>
      </c>
      <c r="H137" s="1">
        <v>35269</v>
      </c>
      <c r="I137" t="s">
        <v>19</v>
      </c>
      <c r="J137">
        <v>80204</v>
      </c>
      <c r="K137" t="s">
        <v>19</v>
      </c>
      <c r="L137" s="3" t="s">
        <v>20</v>
      </c>
      <c r="M137" cm="1">
        <f t="array" ref="M137">_xlfn.IFS(L136="A", 4, L136="B", 3, L136="C", 2, L136="D", 1)</f>
        <v>2</v>
      </c>
    </row>
    <row r="138" spans="1:13" hidden="1" x14ac:dyDescent="0.2">
      <c r="A138">
        <v>2023</v>
      </c>
      <c r="B138">
        <v>80204</v>
      </c>
      <c r="C138" t="s">
        <v>86</v>
      </c>
      <c r="D138" t="s">
        <v>93</v>
      </c>
      <c r="E138" t="s">
        <v>15</v>
      </c>
      <c r="F138" t="s">
        <v>16</v>
      </c>
      <c r="G138">
        <v>28</v>
      </c>
      <c r="H138" s="1">
        <v>35269</v>
      </c>
      <c r="I138" t="s">
        <v>19</v>
      </c>
      <c r="J138">
        <v>80204</v>
      </c>
      <c r="K138" t="s">
        <v>19</v>
      </c>
      <c r="L138" s="3" t="s">
        <v>21</v>
      </c>
      <c r="M138" cm="1">
        <f t="array" ref="M138">_xlfn.IFS(L137="A", 4, L137="B", 3, L137="C", 2, L137="D", 1)</f>
        <v>3</v>
      </c>
    </row>
    <row r="139" spans="1:13" hidden="1" x14ac:dyDescent="0.2">
      <c r="A139">
        <v>2023</v>
      </c>
      <c r="B139">
        <v>80204</v>
      </c>
      <c r="C139" t="s">
        <v>86</v>
      </c>
      <c r="D139" t="s">
        <v>93</v>
      </c>
      <c r="E139" t="s">
        <v>15</v>
      </c>
      <c r="F139" t="s">
        <v>16</v>
      </c>
      <c r="G139">
        <v>28</v>
      </c>
      <c r="H139" s="1">
        <v>35269</v>
      </c>
      <c r="I139" t="s">
        <v>22</v>
      </c>
      <c r="J139">
        <v>80204</v>
      </c>
      <c r="K139" t="s">
        <v>22</v>
      </c>
      <c r="L139" s="3" t="s">
        <v>23</v>
      </c>
      <c r="M139" cm="1">
        <f t="array" ref="M139">_xlfn.IFS(L138="A", 4, L138="B", 3, L138="C", 2, L138="D", 1)</f>
        <v>2</v>
      </c>
    </row>
    <row r="140" spans="1:13" hidden="1" x14ac:dyDescent="0.2">
      <c r="A140">
        <v>2023</v>
      </c>
      <c r="B140">
        <v>80204</v>
      </c>
      <c r="C140" t="s">
        <v>86</v>
      </c>
      <c r="D140" t="s">
        <v>93</v>
      </c>
      <c r="E140" t="s">
        <v>15</v>
      </c>
      <c r="F140" t="s">
        <v>16</v>
      </c>
      <c r="G140">
        <v>28</v>
      </c>
      <c r="H140" s="1">
        <v>35269</v>
      </c>
      <c r="I140" t="s">
        <v>24</v>
      </c>
      <c r="J140">
        <v>80204</v>
      </c>
      <c r="K140" t="s">
        <v>24</v>
      </c>
      <c r="L140" s="3" t="s">
        <v>23</v>
      </c>
      <c r="M140" cm="1">
        <f t="array" ref="M140">_xlfn.IFS(L139="A", 4, L139="B", 3, L139="C", 2, L139="D", 1)</f>
        <v>1</v>
      </c>
    </row>
    <row r="141" spans="1:13" hidden="1" x14ac:dyDescent="0.2">
      <c r="A141">
        <v>2023</v>
      </c>
      <c r="B141">
        <v>80204</v>
      </c>
      <c r="C141" t="s">
        <v>86</v>
      </c>
      <c r="D141" t="s">
        <v>93</v>
      </c>
      <c r="E141" t="s">
        <v>15</v>
      </c>
      <c r="F141" t="s">
        <v>16</v>
      </c>
      <c r="G141">
        <v>28</v>
      </c>
      <c r="H141" s="1">
        <v>35269</v>
      </c>
      <c r="I141" t="s">
        <v>25</v>
      </c>
      <c r="J141">
        <v>80204</v>
      </c>
      <c r="K141" t="s">
        <v>25</v>
      </c>
      <c r="L141" s="3" t="s">
        <v>23</v>
      </c>
      <c r="M141" cm="1">
        <f t="array" ref="M141">_xlfn.IFS(L140="A", 4, L140="B", 3, L140="C", 2, L140="D", 1)</f>
        <v>1</v>
      </c>
    </row>
    <row r="142" spans="1:13" hidden="1" x14ac:dyDescent="0.2">
      <c r="A142">
        <v>2023</v>
      </c>
      <c r="B142">
        <v>80204</v>
      </c>
      <c r="C142" t="s">
        <v>86</v>
      </c>
      <c r="D142" t="s">
        <v>93</v>
      </c>
      <c r="E142" t="s">
        <v>15</v>
      </c>
      <c r="F142" t="s">
        <v>16</v>
      </c>
      <c r="G142">
        <v>28</v>
      </c>
      <c r="H142" s="1">
        <v>35269</v>
      </c>
      <c r="I142" t="s">
        <v>26</v>
      </c>
      <c r="J142">
        <v>80204</v>
      </c>
      <c r="K142" t="s">
        <v>26</v>
      </c>
      <c r="L142" s="3" t="s">
        <v>21</v>
      </c>
      <c r="M142" cm="1">
        <f t="array" ref="M142">_xlfn.IFS(L141="A", 4, L141="B", 3, L141="C", 2, L141="D", 1)</f>
        <v>1</v>
      </c>
    </row>
    <row r="143" spans="1:13" hidden="1" x14ac:dyDescent="0.2">
      <c r="A143">
        <v>2023</v>
      </c>
      <c r="B143">
        <v>80204</v>
      </c>
      <c r="C143" t="s">
        <v>94</v>
      </c>
      <c r="D143" t="s">
        <v>95</v>
      </c>
      <c r="E143" t="s">
        <v>15</v>
      </c>
      <c r="F143" t="s">
        <v>16</v>
      </c>
      <c r="G143">
        <v>17.7</v>
      </c>
      <c r="H143" s="1">
        <v>35269</v>
      </c>
      <c r="I143" t="s">
        <v>19</v>
      </c>
      <c r="J143">
        <v>80204</v>
      </c>
      <c r="K143" t="s">
        <v>19</v>
      </c>
      <c r="L143" s="3" t="s">
        <v>20</v>
      </c>
      <c r="M143" cm="1">
        <f t="array" ref="M143">_xlfn.IFS(L142="A", 4, L142="B", 3, L142="C", 2, L142="D", 1)</f>
        <v>2</v>
      </c>
    </row>
    <row r="144" spans="1:13" hidden="1" x14ac:dyDescent="0.2">
      <c r="A144">
        <v>2023</v>
      </c>
      <c r="B144">
        <v>80204</v>
      </c>
      <c r="C144" t="s">
        <v>94</v>
      </c>
      <c r="D144" t="s">
        <v>95</v>
      </c>
      <c r="E144" t="s">
        <v>15</v>
      </c>
      <c r="F144" t="s">
        <v>16</v>
      </c>
      <c r="G144">
        <v>17.7</v>
      </c>
      <c r="H144" s="1">
        <v>35269</v>
      </c>
      <c r="I144" t="s">
        <v>19</v>
      </c>
      <c r="J144">
        <v>80204</v>
      </c>
      <c r="K144" t="s">
        <v>19</v>
      </c>
      <c r="L144" s="3" t="s">
        <v>21</v>
      </c>
      <c r="M144" cm="1">
        <f t="array" ref="M144">_xlfn.IFS(L143="A", 4, L143="B", 3, L143="C", 2, L143="D", 1)</f>
        <v>3</v>
      </c>
    </row>
    <row r="145" spans="1:13" hidden="1" x14ac:dyDescent="0.2">
      <c r="A145">
        <v>2023</v>
      </c>
      <c r="B145">
        <v>80204</v>
      </c>
      <c r="C145" t="s">
        <v>94</v>
      </c>
      <c r="D145" t="s">
        <v>95</v>
      </c>
      <c r="E145" t="s">
        <v>15</v>
      </c>
      <c r="F145" t="s">
        <v>16</v>
      </c>
      <c r="G145">
        <v>17.7</v>
      </c>
      <c r="H145" s="1">
        <v>35269</v>
      </c>
      <c r="I145" t="s">
        <v>22</v>
      </c>
      <c r="J145">
        <v>80204</v>
      </c>
      <c r="K145" t="s">
        <v>22</v>
      </c>
      <c r="L145" s="3" t="s">
        <v>23</v>
      </c>
      <c r="M145" cm="1">
        <f t="array" ref="M145">_xlfn.IFS(L144="A", 4, L144="B", 3, L144="C", 2, L144="D", 1)</f>
        <v>2</v>
      </c>
    </row>
    <row r="146" spans="1:13" hidden="1" x14ac:dyDescent="0.2">
      <c r="A146">
        <v>2023</v>
      </c>
      <c r="B146">
        <v>80204</v>
      </c>
      <c r="C146" t="s">
        <v>94</v>
      </c>
      <c r="D146" t="s">
        <v>95</v>
      </c>
      <c r="E146" t="s">
        <v>15</v>
      </c>
      <c r="F146" t="s">
        <v>16</v>
      </c>
      <c r="G146">
        <v>17.7</v>
      </c>
      <c r="H146" s="1">
        <v>35269</v>
      </c>
      <c r="I146" t="s">
        <v>24</v>
      </c>
      <c r="J146">
        <v>80204</v>
      </c>
      <c r="K146" t="s">
        <v>24</v>
      </c>
      <c r="L146" s="3" t="s">
        <v>23</v>
      </c>
      <c r="M146" cm="1">
        <f t="array" ref="M146">_xlfn.IFS(L145="A", 4, L145="B", 3, L145="C", 2, L145="D", 1)</f>
        <v>1</v>
      </c>
    </row>
    <row r="147" spans="1:13" hidden="1" x14ac:dyDescent="0.2">
      <c r="A147">
        <v>2023</v>
      </c>
      <c r="B147">
        <v>80204</v>
      </c>
      <c r="C147" t="s">
        <v>94</v>
      </c>
      <c r="D147" t="s">
        <v>95</v>
      </c>
      <c r="E147" t="s">
        <v>15</v>
      </c>
      <c r="F147" t="s">
        <v>16</v>
      </c>
      <c r="G147">
        <v>17.7</v>
      </c>
      <c r="H147" s="1">
        <v>35269</v>
      </c>
      <c r="I147" t="s">
        <v>25</v>
      </c>
      <c r="J147">
        <v>80204</v>
      </c>
      <c r="K147" t="s">
        <v>25</v>
      </c>
      <c r="L147" s="3" t="s">
        <v>23</v>
      </c>
      <c r="M147" cm="1">
        <f t="array" ref="M147">_xlfn.IFS(L146="A", 4, L146="B", 3, L146="C", 2, L146="D", 1)</f>
        <v>1</v>
      </c>
    </row>
    <row r="148" spans="1:13" hidden="1" x14ac:dyDescent="0.2">
      <c r="A148">
        <v>2023</v>
      </c>
      <c r="B148">
        <v>80204</v>
      </c>
      <c r="C148" t="s">
        <v>94</v>
      </c>
      <c r="D148" t="s">
        <v>95</v>
      </c>
      <c r="E148" t="s">
        <v>15</v>
      </c>
      <c r="F148" t="s">
        <v>16</v>
      </c>
      <c r="G148">
        <v>17.7</v>
      </c>
      <c r="H148" s="1">
        <v>35269</v>
      </c>
      <c r="I148" t="s">
        <v>26</v>
      </c>
      <c r="J148">
        <v>80204</v>
      </c>
      <c r="K148" t="s">
        <v>26</v>
      </c>
      <c r="L148" s="3" t="s">
        <v>21</v>
      </c>
      <c r="M148" cm="1">
        <f t="array" ref="M148">_xlfn.IFS(L147="A", 4, L147="B", 3, L147="C", 2, L147="D", 1)</f>
        <v>1</v>
      </c>
    </row>
    <row r="149" spans="1:13" hidden="1" x14ac:dyDescent="0.2">
      <c r="A149">
        <v>2023</v>
      </c>
      <c r="B149">
        <v>80204</v>
      </c>
      <c r="C149" t="s">
        <v>86</v>
      </c>
      <c r="D149" t="s">
        <v>96</v>
      </c>
      <c r="E149" t="s">
        <v>15</v>
      </c>
      <c r="F149" t="s">
        <v>16</v>
      </c>
      <c r="G149">
        <v>5.2</v>
      </c>
      <c r="H149" s="1">
        <v>35269</v>
      </c>
      <c r="I149" t="s">
        <v>19</v>
      </c>
      <c r="J149">
        <v>80204</v>
      </c>
      <c r="K149" t="s">
        <v>19</v>
      </c>
      <c r="L149" s="3" t="s">
        <v>20</v>
      </c>
      <c r="M149" cm="1">
        <f t="array" ref="M149">_xlfn.IFS(L148="A", 4, L148="B", 3, L148="C", 2, L148="D", 1)</f>
        <v>2</v>
      </c>
    </row>
    <row r="150" spans="1:13" hidden="1" x14ac:dyDescent="0.2">
      <c r="A150">
        <v>2023</v>
      </c>
      <c r="B150">
        <v>80204</v>
      </c>
      <c r="C150" t="s">
        <v>86</v>
      </c>
      <c r="D150" t="s">
        <v>96</v>
      </c>
      <c r="E150" t="s">
        <v>15</v>
      </c>
      <c r="F150" t="s">
        <v>16</v>
      </c>
      <c r="G150">
        <v>5.2</v>
      </c>
      <c r="H150" s="1">
        <v>35269</v>
      </c>
      <c r="I150" t="s">
        <v>19</v>
      </c>
      <c r="J150">
        <v>80204</v>
      </c>
      <c r="K150" t="s">
        <v>19</v>
      </c>
      <c r="L150" s="3" t="s">
        <v>21</v>
      </c>
      <c r="M150" cm="1">
        <f t="array" ref="M150">_xlfn.IFS(L149="A", 4, L149="B", 3, L149="C", 2, L149="D", 1)</f>
        <v>3</v>
      </c>
    </row>
    <row r="151" spans="1:13" hidden="1" x14ac:dyDescent="0.2">
      <c r="A151">
        <v>2023</v>
      </c>
      <c r="B151">
        <v>80204</v>
      </c>
      <c r="C151" t="s">
        <v>86</v>
      </c>
      <c r="D151" t="s">
        <v>96</v>
      </c>
      <c r="E151" t="s">
        <v>15</v>
      </c>
      <c r="F151" t="s">
        <v>16</v>
      </c>
      <c r="G151">
        <v>5.2</v>
      </c>
      <c r="H151" s="1">
        <v>35269</v>
      </c>
      <c r="I151" t="s">
        <v>22</v>
      </c>
      <c r="J151">
        <v>80204</v>
      </c>
      <c r="K151" t="s">
        <v>22</v>
      </c>
      <c r="L151" s="3" t="s">
        <v>23</v>
      </c>
      <c r="M151" cm="1">
        <f t="array" ref="M151">_xlfn.IFS(L150="A", 4, L150="B", 3, L150="C", 2, L150="D", 1)</f>
        <v>2</v>
      </c>
    </row>
    <row r="152" spans="1:13" hidden="1" x14ac:dyDescent="0.2">
      <c r="A152">
        <v>2023</v>
      </c>
      <c r="B152">
        <v>80204</v>
      </c>
      <c r="C152" t="s">
        <v>86</v>
      </c>
      <c r="D152" t="s">
        <v>96</v>
      </c>
      <c r="E152" t="s">
        <v>15</v>
      </c>
      <c r="F152" t="s">
        <v>16</v>
      </c>
      <c r="G152">
        <v>5.2</v>
      </c>
      <c r="H152" s="1">
        <v>35269</v>
      </c>
      <c r="I152" t="s">
        <v>24</v>
      </c>
      <c r="J152">
        <v>80204</v>
      </c>
      <c r="K152" t="s">
        <v>24</v>
      </c>
      <c r="L152" s="3" t="s">
        <v>23</v>
      </c>
      <c r="M152" cm="1">
        <f t="array" ref="M152">_xlfn.IFS(L151="A", 4, L151="B", 3, L151="C", 2, L151="D", 1)</f>
        <v>1</v>
      </c>
    </row>
    <row r="153" spans="1:13" hidden="1" x14ac:dyDescent="0.2">
      <c r="A153">
        <v>2023</v>
      </c>
      <c r="B153">
        <v>80204</v>
      </c>
      <c r="C153" t="s">
        <v>86</v>
      </c>
      <c r="D153" t="s">
        <v>96</v>
      </c>
      <c r="E153" t="s">
        <v>15</v>
      </c>
      <c r="F153" t="s">
        <v>16</v>
      </c>
      <c r="G153">
        <v>5.2</v>
      </c>
      <c r="H153" s="1">
        <v>35269</v>
      </c>
      <c r="I153" t="s">
        <v>25</v>
      </c>
      <c r="J153">
        <v>80204</v>
      </c>
      <c r="K153" t="s">
        <v>25</v>
      </c>
      <c r="L153" s="3" t="s">
        <v>23</v>
      </c>
      <c r="M153" cm="1">
        <f t="array" ref="M153">_xlfn.IFS(L152="A", 4, L152="B", 3, L152="C", 2, L152="D", 1)</f>
        <v>1</v>
      </c>
    </row>
    <row r="154" spans="1:13" hidden="1" x14ac:dyDescent="0.2">
      <c r="A154">
        <v>2023</v>
      </c>
      <c r="B154">
        <v>80204</v>
      </c>
      <c r="C154" t="s">
        <v>86</v>
      </c>
      <c r="D154" t="s">
        <v>96</v>
      </c>
      <c r="E154" t="s">
        <v>15</v>
      </c>
      <c r="F154" t="s">
        <v>16</v>
      </c>
      <c r="G154">
        <v>5.2</v>
      </c>
      <c r="H154" s="1">
        <v>35269</v>
      </c>
      <c r="I154" t="s">
        <v>26</v>
      </c>
      <c r="J154">
        <v>80204</v>
      </c>
      <c r="K154" t="s">
        <v>26</v>
      </c>
      <c r="L154" s="3" t="s">
        <v>21</v>
      </c>
      <c r="M154" cm="1">
        <f t="array" ref="M154">_xlfn.IFS(L153="A", 4, L153="B", 3, L153="C", 2, L153="D", 1)</f>
        <v>1</v>
      </c>
    </row>
    <row r="155" spans="1:13" hidden="1" x14ac:dyDescent="0.2">
      <c r="A155">
        <v>2023</v>
      </c>
      <c r="B155">
        <v>80204</v>
      </c>
      <c r="C155" t="s">
        <v>13</v>
      </c>
      <c r="D155" t="s">
        <v>97</v>
      </c>
      <c r="E155" t="s">
        <v>15</v>
      </c>
      <c r="F155" t="s">
        <v>16</v>
      </c>
      <c r="G155">
        <v>26.3</v>
      </c>
      <c r="H155" s="1">
        <v>35269</v>
      </c>
      <c r="I155" t="s">
        <v>19</v>
      </c>
      <c r="J155">
        <v>80204</v>
      </c>
      <c r="K155" t="s">
        <v>19</v>
      </c>
      <c r="L155" s="3" t="s">
        <v>20</v>
      </c>
      <c r="M155" cm="1">
        <f t="array" ref="M155">_xlfn.IFS(L154="A", 4, L154="B", 3, L154="C", 2, L154="D", 1)</f>
        <v>2</v>
      </c>
    </row>
    <row r="156" spans="1:13" hidden="1" x14ac:dyDescent="0.2">
      <c r="A156">
        <v>2023</v>
      </c>
      <c r="B156">
        <v>80204</v>
      </c>
      <c r="C156" t="s">
        <v>13</v>
      </c>
      <c r="D156" t="s">
        <v>97</v>
      </c>
      <c r="E156" t="s">
        <v>15</v>
      </c>
      <c r="F156" t="s">
        <v>16</v>
      </c>
      <c r="G156">
        <v>26.3</v>
      </c>
      <c r="H156" s="1">
        <v>35269</v>
      </c>
      <c r="I156" t="s">
        <v>19</v>
      </c>
      <c r="J156">
        <v>80204</v>
      </c>
      <c r="K156" t="s">
        <v>19</v>
      </c>
      <c r="L156" s="3" t="s">
        <v>21</v>
      </c>
      <c r="M156" cm="1">
        <f t="array" ref="M156">_xlfn.IFS(L155="A", 4, L155="B", 3, L155="C", 2, L155="D", 1)</f>
        <v>3</v>
      </c>
    </row>
    <row r="157" spans="1:13" hidden="1" x14ac:dyDescent="0.2">
      <c r="A157">
        <v>2023</v>
      </c>
      <c r="B157">
        <v>80204</v>
      </c>
      <c r="C157" t="s">
        <v>13</v>
      </c>
      <c r="D157" t="s">
        <v>97</v>
      </c>
      <c r="E157" t="s">
        <v>15</v>
      </c>
      <c r="F157" t="s">
        <v>16</v>
      </c>
      <c r="G157">
        <v>26.3</v>
      </c>
      <c r="H157" s="1">
        <v>35269</v>
      </c>
      <c r="I157" t="s">
        <v>22</v>
      </c>
      <c r="J157">
        <v>80204</v>
      </c>
      <c r="K157" t="s">
        <v>22</v>
      </c>
      <c r="L157" s="3" t="s">
        <v>23</v>
      </c>
      <c r="M157" cm="1">
        <f t="array" ref="M157">_xlfn.IFS(L156="A", 4, L156="B", 3, L156="C", 2, L156="D", 1)</f>
        <v>2</v>
      </c>
    </row>
    <row r="158" spans="1:13" hidden="1" x14ac:dyDescent="0.2">
      <c r="A158">
        <v>2023</v>
      </c>
      <c r="B158">
        <v>80204</v>
      </c>
      <c r="C158" t="s">
        <v>13</v>
      </c>
      <c r="D158" t="s">
        <v>97</v>
      </c>
      <c r="E158" t="s">
        <v>15</v>
      </c>
      <c r="F158" t="s">
        <v>16</v>
      </c>
      <c r="G158">
        <v>26.3</v>
      </c>
      <c r="H158" s="1">
        <v>35269</v>
      </c>
      <c r="I158" t="s">
        <v>24</v>
      </c>
      <c r="J158">
        <v>80204</v>
      </c>
      <c r="K158" t="s">
        <v>24</v>
      </c>
      <c r="L158" s="3" t="s">
        <v>23</v>
      </c>
      <c r="M158" cm="1">
        <f t="array" ref="M158">_xlfn.IFS(L157="A", 4, L157="B", 3, L157="C", 2, L157="D", 1)</f>
        <v>1</v>
      </c>
    </row>
    <row r="159" spans="1:13" hidden="1" x14ac:dyDescent="0.2">
      <c r="A159">
        <v>2023</v>
      </c>
      <c r="B159">
        <v>80204</v>
      </c>
      <c r="C159" t="s">
        <v>13</v>
      </c>
      <c r="D159" t="s">
        <v>97</v>
      </c>
      <c r="E159" t="s">
        <v>15</v>
      </c>
      <c r="F159" t="s">
        <v>16</v>
      </c>
      <c r="G159">
        <v>26.3</v>
      </c>
      <c r="H159" s="1">
        <v>35269</v>
      </c>
      <c r="I159" t="s">
        <v>25</v>
      </c>
      <c r="J159">
        <v>80204</v>
      </c>
      <c r="K159" t="s">
        <v>25</v>
      </c>
      <c r="L159" s="3" t="s">
        <v>23</v>
      </c>
      <c r="M159" cm="1">
        <f t="array" ref="M159">_xlfn.IFS(L158="A", 4, L158="B", 3, L158="C", 2, L158="D", 1)</f>
        <v>1</v>
      </c>
    </row>
    <row r="160" spans="1:13" hidden="1" x14ac:dyDescent="0.2">
      <c r="A160">
        <v>2023</v>
      </c>
      <c r="B160">
        <v>80204</v>
      </c>
      <c r="C160" t="s">
        <v>13</v>
      </c>
      <c r="D160" t="s">
        <v>97</v>
      </c>
      <c r="E160" t="s">
        <v>15</v>
      </c>
      <c r="F160" t="s">
        <v>16</v>
      </c>
      <c r="G160">
        <v>26.3</v>
      </c>
      <c r="H160" s="1">
        <v>35269</v>
      </c>
      <c r="I160" t="s">
        <v>26</v>
      </c>
      <c r="J160">
        <v>80204</v>
      </c>
      <c r="K160" t="s">
        <v>26</v>
      </c>
      <c r="L160" s="3" t="s">
        <v>21</v>
      </c>
      <c r="M160" cm="1">
        <f t="array" ref="M160">_xlfn.IFS(L159="A", 4, L159="B", 3, L159="C", 2, L159="D", 1)</f>
        <v>1</v>
      </c>
    </row>
    <row r="161" spans="1:13" hidden="1" x14ac:dyDescent="0.2">
      <c r="A161">
        <v>2023</v>
      </c>
      <c r="B161">
        <v>80204</v>
      </c>
      <c r="C161" t="s">
        <v>86</v>
      </c>
      <c r="D161" t="s">
        <v>98</v>
      </c>
      <c r="E161" t="s">
        <v>15</v>
      </c>
      <c r="F161" t="s">
        <v>16</v>
      </c>
      <c r="G161">
        <v>7.8</v>
      </c>
      <c r="H161" s="1">
        <v>35269</v>
      </c>
      <c r="I161" t="s">
        <v>19</v>
      </c>
      <c r="J161">
        <v>80204</v>
      </c>
      <c r="K161" t="s">
        <v>19</v>
      </c>
      <c r="L161" s="3" t="s">
        <v>20</v>
      </c>
      <c r="M161" cm="1">
        <f t="array" ref="M161">_xlfn.IFS(L160="A", 4, L160="B", 3, L160="C", 2, L160="D", 1)</f>
        <v>2</v>
      </c>
    </row>
    <row r="162" spans="1:13" hidden="1" x14ac:dyDescent="0.2">
      <c r="A162">
        <v>2023</v>
      </c>
      <c r="B162">
        <v>80204</v>
      </c>
      <c r="C162" t="s">
        <v>86</v>
      </c>
      <c r="D162" t="s">
        <v>98</v>
      </c>
      <c r="E162" t="s">
        <v>15</v>
      </c>
      <c r="F162" t="s">
        <v>16</v>
      </c>
      <c r="G162">
        <v>7.8</v>
      </c>
      <c r="H162" s="1">
        <v>35269</v>
      </c>
      <c r="I162" t="s">
        <v>19</v>
      </c>
      <c r="J162">
        <v>80204</v>
      </c>
      <c r="K162" t="s">
        <v>19</v>
      </c>
      <c r="L162" s="3" t="s">
        <v>21</v>
      </c>
      <c r="M162" cm="1">
        <f t="array" ref="M162">_xlfn.IFS(L161="A", 4, L161="B", 3, L161="C", 2, L161="D", 1)</f>
        <v>3</v>
      </c>
    </row>
    <row r="163" spans="1:13" hidden="1" x14ac:dyDescent="0.2">
      <c r="A163">
        <v>2023</v>
      </c>
      <c r="B163">
        <v>80204</v>
      </c>
      <c r="C163" t="s">
        <v>86</v>
      </c>
      <c r="D163" t="s">
        <v>98</v>
      </c>
      <c r="E163" t="s">
        <v>15</v>
      </c>
      <c r="F163" t="s">
        <v>16</v>
      </c>
      <c r="G163">
        <v>7.8</v>
      </c>
      <c r="H163" s="1">
        <v>35269</v>
      </c>
      <c r="I163" t="s">
        <v>22</v>
      </c>
      <c r="J163">
        <v>80204</v>
      </c>
      <c r="K163" t="s">
        <v>22</v>
      </c>
      <c r="L163" s="3" t="s">
        <v>23</v>
      </c>
      <c r="M163" cm="1">
        <f t="array" ref="M163">_xlfn.IFS(L162="A", 4, L162="B", 3, L162="C", 2, L162="D", 1)</f>
        <v>2</v>
      </c>
    </row>
    <row r="164" spans="1:13" hidden="1" x14ac:dyDescent="0.2">
      <c r="A164">
        <v>2023</v>
      </c>
      <c r="B164">
        <v>80204</v>
      </c>
      <c r="C164" t="s">
        <v>86</v>
      </c>
      <c r="D164" t="s">
        <v>98</v>
      </c>
      <c r="E164" t="s">
        <v>15</v>
      </c>
      <c r="F164" t="s">
        <v>16</v>
      </c>
      <c r="G164">
        <v>7.8</v>
      </c>
      <c r="H164" s="1">
        <v>35269</v>
      </c>
      <c r="I164" t="s">
        <v>24</v>
      </c>
      <c r="J164">
        <v>80204</v>
      </c>
      <c r="K164" t="s">
        <v>24</v>
      </c>
      <c r="L164" s="3" t="s">
        <v>23</v>
      </c>
      <c r="M164" cm="1">
        <f t="array" ref="M164">_xlfn.IFS(L163="A", 4, L163="B", 3, L163="C", 2, L163="D", 1)</f>
        <v>1</v>
      </c>
    </row>
    <row r="165" spans="1:13" hidden="1" x14ac:dyDescent="0.2">
      <c r="A165">
        <v>2023</v>
      </c>
      <c r="B165">
        <v>80204</v>
      </c>
      <c r="C165" t="s">
        <v>86</v>
      </c>
      <c r="D165" t="s">
        <v>98</v>
      </c>
      <c r="E165" t="s">
        <v>15</v>
      </c>
      <c r="F165" t="s">
        <v>16</v>
      </c>
      <c r="G165">
        <v>7.8</v>
      </c>
      <c r="H165" s="1">
        <v>35269</v>
      </c>
      <c r="I165" t="s">
        <v>25</v>
      </c>
      <c r="J165">
        <v>80204</v>
      </c>
      <c r="K165" t="s">
        <v>25</v>
      </c>
      <c r="L165" s="3" t="s">
        <v>23</v>
      </c>
      <c r="M165" cm="1">
        <f t="array" ref="M165">_xlfn.IFS(L164="A", 4, L164="B", 3, L164="C", 2, L164="D", 1)</f>
        <v>1</v>
      </c>
    </row>
    <row r="166" spans="1:13" hidden="1" x14ac:dyDescent="0.2">
      <c r="A166">
        <v>2023</v>
      </c>
      <c r="B166">
        <v>80204</v>
      </c>
      <c r="C166" t="s">
        <v>86</v>
      </c>
      <c r="D166" t="s">
        <v>98</v>
      </c>
      <c r="E166" t="s">
        <v>15</v>
      </c>
      <c r="F166" t="s">
        <v>16</v>
      </c>
      <c r="G166">
        <v>7.8</v>
      </c>
      <c r="H166" s="1">
        <v>35269</v>
      </c>
      <c r="I166" t="s">
        <v>26</v>
      </c>
      <c r="J166">
        <v>80204</v>
      </c>
      <c r="K166" t="s">
        <v>26</v>
      </c>
      <c r="L166" s="3" t="s">
        <v>21</v>
      </c>
      <c r="M166" cm="1">
        <f t="array" ref="M166">_xlfn.IFS(L165="A", 4, L165="B", 3, L165="C", 2, L165="D", 1)</f>
        <v>1</v>
      </c>
    </row>
    <row r="167" spans="1:13" hidden="1" x14ac:dyDescent="0.2">
      <c r="A167">
        <v>2023</v>
      </c>
      <c r="B167">
        <v>80204</v>
      </c>
      <c r="C167" t="s">
        <v>77</v>
      </c>
      <c r="D167" t="s">
        <v>99</v>
      </c>
      <c r="E167" t="s">
        <v>15</v>
      </c>
      <c r="F167" t="s">
        <v>16</v>
      </c>
      <c r="G167">
        <v>20.3</v>
      </c>
      <c r="H167" s="1">
        <v>35269</v>
      </c>
      <c r="I167" t="s">
        <v>19</v>
      </c>
      <c r="J167">
        <v>80204</v>
      </c>
      <c r="K167" t="s">
        <v>19</v>
      </c>
      <c r="L167" s="3" t="s">
        <v>20</v>
      </c>
      <c r="M167" cm="1">
        <f t="array" ref="M167">_xlfn.IFS(L166="A", 4, L166="B", 3, L166="C", 2, L166="D", 1)</f>
        <v>2</v>
      </c>
    </row>
    <row r="168" spans="1:13" hidden="1" x14ac:dyDescent="0.2">
      <c r="A168">
        <v>2023</v>
      </c>
      <c r="B168">
        <v>80204</v>
      </c>
      <c r="C168" t="s">
        <v>77</v>
      </c>
      <c r="D168" t="s">
        <v>99</v>
      </c>
      <c r="E168" t="s">
        <v>15</v>
      </c>
      <c r="F168" t="s">
        <v>16</v>
      </c>
      <c r="G168">
        <v>20.3</v>
      </c>
      <c r="H168" s="1">
        <v>35269</v>
      </c>
      <c r="I168" t="s">
        <v>19</v>
      </c>
      <c r="J168">
        <v>80204</v>
      </c>
      <c r="K168" t="s">
        <v>19</v>
      </c>
      <c r="L168" s="3" t="s">
        <v>21</v>
      </c>
      <c r="M168" cm="1">
        <f t="array" ref="M168">_xlfn.IFS(L167="A", 4, L167="B", 3, L167="C", 2, L167="D", 1)</f>
        <v>3</v>
      </c>
    </row>
    <row r="169" spans="1:13" hidden="1" x14ac:dyDescent="0.2">
      <c r="A169">
        <v>2023</v>
      </c>
      <c r="B169">
        <v>80204</v>
      </c>
      <c r="C169" t="s">
        <v>77</v>
      </c>
      <c r="D169" t="s">
        <v>99</v>
      </c>
      <c r="E169" t="s">
        <v>15</v>
      </c>
      <c r="F169" t="s">
        <v>16</v>
      </c>
      <c r="G169">
        <v>20.3</v>
      </c>
      <c r="H169" s="1">
        <v>35269</v>
      </c>
      <c r="I169" t="s">
        <v>22</v>
      </c>
      <c r="J169">
        <v>80204</v>
      </c>
      <c r="K169" t="s">
        <v>22</v>
      </c>
      <c r="L169" s="3" t="s">
        <v>23</v>
      </c>
      <c r="M169" cm="1">
        <f t="array" ref="M169">_xlfn.IFS(L168="A", 4, L168="B", 3, L168="C", 2, L168="D", 1)</f>
        <v>2</v>
      </c>
    </row>
    <row r="170" spans="1:13" hidden="1" x14ac:dyDescent="0.2">
      <c r="A170">
        <v>2023</v>
      </c>
      <c r="B170">
        <v>80204</v>
      </c>
      <c r="C170" t="s">
        <v>77</v>
      </c>
      <c r="D170" t="s">
        <v>99</v>
      </c>
      <c r="E170" t="s">
        <v>15</v>
      </c>
      <c r="F170" t="s">
        <v>16</v>
      </c>
      <c r="G170">
        <v>20.3</v>
      </c>
      <c r="H170" s="1">
        <v>35269</v>
      </c>
      <c r="I170" t="s">
        <v>24</v>
      </c>
      <c r="J170">
        <v>80204</v>
      </c>
      <c r="K170" t="s">
        <v>24</v>
      </c>
      <c r="L170" s="3" t="s">
        <v>23</v>
      </c>
      <c r="M170" cm="1">
        <f t="array" ref="M170">_xlfn.IFS(L169="A", 4, L169="B", 3, L169="C", 2, L169="D", 1)</f>
        <v>1</v>
      </c>
    </row>
    <row r="171" spans="1:13" hidden="1" x14ac:dyDescent="0.2">
      <c r="A171">
        <v>2023</v>
      </c>
      <c r="B171">
        <v>80204</v>
      </c>
      <c r="C171" t="s">
        <v>77</v>
      </c>
      <c r="D171" t="s">
        <v>99</v>
      </c>
      <c r="E171" t="s">
        <v>15</v>
      </c>
      <c r="F171" t="s">
        <v>16</v>
      </c>
      <c r="G171">
        <v>20.3</v>
      </c>
      <c r="H171" s="1">
        <v>35269</v>
      </c>
      <c r="I171" t="s">
        <v>25</v>
      </c>
      <c r="J171">
        <v>80204</v>
      </c>
      <c r="K171" t="s">
        <v>25</v>
      </c>
      <c r="L171" s="3" t="s">
        <v>23</v>
      </c>
      <c r="M171" cm="1">
        <f t="array" ref="M171">_xlfn.IFS(L170="A", 4, L170="B", 3, L170="C", 2, L170="D", 1)</f>
        <v>1</v>
      </c>
    </row>
    <row r="172" spans="1:13" hidden="1" x14ac:dyDescent="0.2">
      <c r="A172">
        <v>2023</v>
      </c>
      <c r="B172">
        <v>80204</v>
      </c>
      <c r="C172" t="s">
        <v>77</v>
      </c>
      <c r="D172" t="s">
        <v>99</v>
      </c>
      <c r="E172" t="s">
        <v>15</v>
      </c>
      <c r="F172" t="s">
        <v>16</v>
      </c>
      <c r="G172">
        <v>20.3</v>
      </c>
      <c r="H172" s="1">
        <v>35269</v>
      </c>
      <c r="I172" t="s">
        <v>26</v>
      </c>
      <c r="J172">
        <v>80204</v>
      </c>
      <c r="K172" t="s">
        <v>26</v>
      </c>
      <c r="L172" s="3" t="s">
        <v>21</v>
      </c>
      <c r="M172" cm="1">
        <f t="array" ref="M172">_xlfn.IFS(L171="A", 4, L171="B", 3, L171="C", 2, L171="D", 1)</f>
        <v>1</v>
      </c>
    </row>
    <row r="173" spans="1:13" hidden="1" x14ac:dyDescent="0.2">
      <c r="A173">
        <v>2022</v>
      </c>
      <c r="B173">
        <v>80204</v>
      </c>
      <c r="C173" t="s">
        <v>74</v>
      </c>
      <c r="D173" t="s">
        <v>100</v>
      </c>
      <c r="E173" t="s">
        <v>15</v>
      </c>
      <c r="F173" t="s">
        <v>16</v>
      </c>
      <c r="G173">
        <v>69.5</v>
      </c>
      <c r="H173" s="1">
        <v>35269</v>
      </c>
      <c r="I173" t="s">
        <v>19</v>
      </c>
      <c r="J173">
        <v>80204</v>
      </c>
      <c r="K173" t="s">
        <v>19</v>
      </c>
      <c r="L173" s="3" t="s">
        <v>20</v>
      </c>
      <c r="M173" cm="1">
        <f t="array" ref="M173">_xlfn.IFS(L172="A", 4, L172="B", 3, L172="C", 2, L172="D", 1)</f>
        <v>2</v>
      </c>
    </row>
    <row r="174" spans="1:13" hidden="1" x14ac:dyDescent="0.2">
      <c r="A174">
        <v>2022</v>
      </c>
      <c r="B174">
        <v>80204</v>
      </c>
      <c r="C174" t="s">
        <v>74</v>
      </c>
      <c r="D174" t="s">
        <v>100</v>
      </c>
      <c r="E174" t="s">
        <v>15</v>
      </c>
      <c r="F174" t="s">
        <v>16</v>
      </c>
      <c r="G174">
        <v>69.5</v>
      </c>
      <c r="H174" s="1">
        <v>35269</v>
      </c>
      <c r="I174" t="s">
        <v>19</v>
      </c>
      <c r="J174">
        <v>80204</v>
      </c>
      <c r="K174" t="s">
        <v>19</v>
      </c>
      <c r="L174" s="3" t="s">
        <v>21</v>
      </c>
      <c r="M174" cm="1">
        <f t="array" ref="M174">_xlfn.IFS(L173="A", 4, L173="B", 3, L173="C", 2, L173="D", 1)</f>
        <v>3</v>
      </c>
    </row>
    <row r="175" spans="1:13" hidden="1" x14ac:dyDescent="0.2">
      <c r="A175">
        <v>2022</v>
      </c>
      <c r="B175">
        <v>80204</v>
      </c>
      <c r="C175" t="s">
        <v>74</v>
      </c>
      <c r="D175" t="s">
        <v>100</v>
      </c>
      <c r="E175" t="s">
        <v>15</v>
      </c>
      <c r="F175" t="s">
        <v>16</v>
      </c>
      <c r="G175">
        <v>69.5</v>
      </c>
      <c r="H175" s="1">
        <v>35269</v>
      </c>
      <c r="I175" t="s">
        <v>22</v>
      </c>
      <c r="J175">
        <v>80204</v>
      </c>
      <c r="K175" t="s">
        <v>22</v>
      </c>
      <c r="L175" s="3" t="s">
        <v>23</v>
      </c>
      <c r="M175" cm="1">
        <f t="array" ref="M175">_xlfn.IFS(L174="A", 4, L174="B", 3, L174="C", 2, L174="D", 1)</f>
        <v>2</v>
      </c>
    </row>
    <row r="176" spans="1:13" hidden="1" x14ac:dyDescent="0.2">
      <c r="A176">
        <v>2022</v>
      </c>
      <c r="B176">
        <v>80204</v>
      </c>
      <c r="C176" t="s">
        <v>74</v>
      </c>
      <c r="D176" t="s">
        <v>100</v>
      </c>
      <c r="E176" t="s">
        <v>15</v>
      </c>
      <c r="F176" t="s">
        <v>16</v>
      </c>
      <c r="G176">
        <v>69.5</v>
      </c>
      <c r="H176" s="1">
        <v>35269</v>
      </c>
      <c r="I176" t="s">
        <v>24</v>
      </c>
      <c r="J176">
        <v>80204</v>
      </c>
      <c r="K176" t="s">
        <v>24</v>
      </c>
      <c r="L176" s="3" t="s">
        <v>23</v>
      </c>
      <c r="M176" cm="1">
        <f t="array" ref="M176">_xlfn.IFS(L175="A", 4, L175="B", 3, L175="C", 2, L175="D", 1)</f>
        <v>1</v>
      </c>
    </row>
    <row r="177" spans="1:13" hidden="1" x14ac:dyDescent="0.2">
      <c r="A177">
        <v>2022</v>
      </c>
      <c r="B177">
        <v>80204</v>
      </c>
      <c r="C177" t="s">
        <v>74</v>
      </c>
      <c r="D177" t="s">
        <v>100</v>
      </c>
      <c r="E177" t="s">
        <v>15</v>
      </c>
      <c r="F177" t="s">
        <v>16</v>
      </c>
      <c r="G177">
        <v>69.5</v>
      </c>
      <c r="H177" s="1">
        <v>35269</v>
      </c>
      <c r="I177" t="s">
        <v>25</v>
      </c>
      <c r="J177">
        <v>80204</v>
      </c>
      <c r="K177" t="s">
        <v>25</v>
      </c>
      <c r="L177" s="3" t="s">
        <v>23</v>
      </c>
      <c r="M177" cm="1">
        <f t="array" ref="M177">_xlfn.IFS(L176="A", 4, L176="B", 3, L176="C", 2, L176="D", 1)</f>
        <v>1</v>
      </c>
    </row>
    <row r="178" spans="1:13" hidden="1" x14ac:dyDescent="0.2">
      <c r="A178">
        <v>2022</v>
      </c>
      <c r="B178">
        <v>80204</v>
      </c>
      <c r="C178" t="s">
        <v>74</v>
      </c>
      <c r="D178" t="s">
        <v>100</v>
      </c>
      <c r="E178" t="s">
        <v>15</v>
      </c>
      <c r="F178" t="s">
        <v>16</v>
      </c>
      <c r="G178">
        <v>69.5</v>
      </c>
      <c r="H178" s="1">
        <v>35269</v>
      </c>
      <c r="I178" t="s">
        <v>26</v>
      </c>
      <c r="J178">
        <v>80204</v>
      </c>
      <c r="K178" t="s">
        <v>26</v>
      </c>
      <c r="L178" s="3" t="s">
        <v>21</v>
      </c>
      <c r="M178" cm="1">
        <f t="array" ref="M178">_xlfn.IFS(L177="A", 4, L177="B", 3, L177="C", 2, L177="D", 1)</f>
        <v>1</v>
      </c>
    </row>
    <row r="179" spans="1:13" hidden="1" x14ac:dyDescent="0.2">
      <c r="A179">
        <v>2023</v>
      </c>
      <c r="B179">
        <v>80204</v>
      </c>
      <c r="C179" t="s">
        <v>94</v>
      </c>
      <c r="D179" t="s">
        <v>101</v>
      </c>
      <c r="E179" t="s">
        <v>15</v>
      </c>
      <c r="F179" t="s">
        <v>16</v>
      </c>
      <c r="G179">
        <v>17.100000000000001</v>
      </c>
      <c r="H179" s="1">
        <v>35269</v>
      </c>
      <c r="I179" t="s">
        <v>19</v>
      </c>
      <c r="J179">
        <v>80204</v>
      </c>
      <c r="K179" t="s">
        <v>19</v>
      </c>
      <c r="L179" s="3" t="s">
        <v>20</v>
      </c>
      <c r="M179" cm="1">
        <f t="array" ref="M179">_xlfn.IFS(L178="A", 4, L178="B", 3, L178="C", 2, L178="D", 1)</f>
        <v>2</v>
      </c>
    </row>
    <row r="180" spans="1:13" hidden="1" x14ac:dyDescent="0.2">
      <c r="A180">
        <v>2023</v>
      </c>
      <c r="B180">
        <v>80204</v>
      </c>
      <c r="C180" t="s">
        <v>94</v>
      </c>
      <c r="D180" t="s">
        <v>101</v>
      </c>
      <c r="E180" t="s">
        <v>15</v>
      </c>
      <c r="F180" t="s">
        <v>16</v>
      </c>
      <c r="G180">
        <v>17.100000000000001</v>
      </c>
      <c r="H180" s="1">
        <v>35269</v>
      </c>
      <c r="I180" t="s">
        <v>19</v>
      </c>
      <c r="J180">
        <v>80204</v>
      </c>
      <c r="K180" t="s">
        <v>19</v>
      </c>
      <c r="L180" s="3" t="s">
        <v>21</v>
      </c>
      <c r="M180" cm="1">
        <f t="array" ref="M180">_xlfn.IFS(L179="A", 4, L179="B", 3, L179="C", 2, L179="D", 1)</f>
        <v>3</v>
      </c>
    </row>
    <row r="181" spans="1:13" hidden="1" x14ac:dyDescent="0.2">
      <c r="A181">
        <v>2023</v>
      </c>
      <c r="B181">
        <v>80204</v>
      </c>
      <c r="C181" t="s">
        <v>94</v>
      </c>
      <c r="D181" t="s">
        <v>101</v>
      </c>
      <c r="E181" t="s">
        <v>15</v>
      </c>
      <c r="F181" t="s">
        <v>16</v>
      </c>
      <c r="G181">
        <v>17.100000000000001</v>
      </c>
      <c r="H181" s="1">
        <v>35269</v>
      </c>
      <c r="I181" t="s">
        <v>22</v>
      </c>
      <c r="J181">
        <v>80204</v>
      </c>
      <c r="K181" t="s">
        <v>22</v>
      </c>
      <c r="L181" s="3" t="s">
        <v>23</v>
      </c>
      <c r="M181" cm="1">
        <f t="array" ref="M181">_xlfn.IFS(L180="A", 4, L180="B", 3, L180="C", 2, L180="D", 1)</f>
        <v>2</v>
      </c>
    </row>
    <row r="182" spans="1:13" hidden="1" x14ac:dyDescent="0.2">
      <c r="A182">
        <v>2023</v>
      </c>
      <c r="B182">
        <v>80204</v>
      </c>
      <c r="C182" t="s">
        <v>94</v>
      </c>
      <c r="D182" t="s">
        <v>101</v>
      </c>
      <c r="E182" t="s">
        <v>15</v>
      </c>
      <c r="F182" t="s">
        <v>16</v>
      </c>
      <c r="G182">
        <v>17.100000000000001</v>
      </c>
      <c r="H182" s="1">
        <v>35269</v>
      </c>
      <c r="I182" t="s">
        <v>24</v>
      </c>
      <c r="J182">
        <v>80204</v>
      </c>
      <c r="K182" t="s">
        <v>24</v>
      </c>
      <c r="L182" s="3" t="s">
        <v>23</v>
      </c>
      <c r="M182" cm="1">
        <f t="array" ref="M182">_xlfn.IFS(L181="A", 4, L181="B", 3, L181="C", 2, L181="D", 1)</f>
        <v>1</v>
      </c>
    </row>
    <row r="183" spans="1:13" hidden="1" x14ac:dyDescent="0.2">
      <c r="A183">
        <v>2023</v>
      </c>
      <c r="B183">
        <v>80204</v>
      </c>
      <c r="C183" t="s">
        <v>94</v>
      </c>
      <c r="D183" t="s">
        <v>101</v>
      </c>
      <c r="E183" t="s">
        <v>15</v>
      </c>
      <c r="F183" t="s">
        <v>16</v>
      </c>
      <c r="G183">
        <v>17.100000000000001</v>
      </c>
      <c r="H183" s="1">
        <v>35269</v>
      </c>
      <c r="I183" t="s">
        <v>25</v>
      </c>
      <c r="J183">
        <v>80204</v>
      </c>
      <c r="K183" t="s">
        <v>25</v>
      </c>
      <c r="L183" s="3" t="s">
        <v>23</v>
      </c>
      <c r="M183" cm="1">
        <f t="array" ref="M183">_xlfn.IFS(L182="A", 4, L182="B", 3, L182="C", 2, L182="D", 1)</f>
        <v>1</v>
      </c>
    </row>
    <row r="184" spans="1:13" hidden="1" x14ac:dyDescent="0.2">
      <c r="A184">
        <v>2023</v>
      </c>
      <c r="B184">
        <v>80204</v>
      </c>
      <c r="C184" t="s">
        <v>94</v>
      </c>
      <c r="D184" t="s">
        <v>101</v>
      </c>
      <c r="E184" t="s">
        <v>15</v>
      </c>
      <c r="F184" t="s">
        <v>16</v>
      </c>
      <c r="G184">
        <v>17.100000000000001</v>
      </c>
      <c r="H184" s="1">
        <v>35269</v>
      </c>
      <c r="I184" t="s">
        <v>26</v>
      </c>
      <c r="J184">
        <v>80204</v>
      </c>
      <c r="K184" t="s">
        <v>26</v>
      </c>
      <c r="L184" s="3" t="s">
        <v>21</v>
      </c>
      <c r="M184" cm="1">
        <f t="array" ref="M184">_xlfn.IFS(L183="A", 4, L183="B", 3, L183="C", 2, L183="D", 1)</f>
        <v>1</v>
      </c>
    </row>
    <row r="185" spans="1:13" hidden="1" x14ac:dyDescent="0.2">
      <c r="A185">
        <v>2023</v>
      </c>
      <c r="B185">
        <v>80204</v>
      </c>
      <c r="C185" t="s">
        <v>86</v>
      </c>
      <c r="D185" t="s">
        <v>102</v>
      </c>
      <c r="E185" t="s">
        <v>15</v>
      </c>
      <c r="F185" t="s">
        <v>16</v>
      </c>
      <c r="G185">
        <v>9.6999999999999993</v>
      </c>
      <c r="H185" s="1">
        <v>35269</v>
      </c>
      <c r="I185" t="s">
        <v>19</v>
      </c>
      <c r="J185">
        <v>80204</v>
      </c>
      <c r="K185" t="s">
        <v>19</v>
      </c>
      <c r="L185" s="3" t="s">
        <v>20</v>
      </c>
      <c r="M185" cm="1">
        <f t="array" ref="M185">_xlfn.IFS(L184="A", 4, L184="B", 3, L184="C", 2, L184="D", 1)</f>
        <v>2</v>
      </c>
    </row>
    <row r="186" spans="1:13" hidden="1" x14ac:dyDescent="0.2">
      <c r="A186">
        <v>2023</v>
      </c>
      <c r="B186">
        <v>80204</v>
      </c>
      <c r="C186" t="s">
        <v>86</v>
      </c>
      <c r="D186" t="s">
        <v>102</v>
      </c>
      <c r="E186" t="s">
        <v>15</v>
      </c>
      <c r="F186" t="s">
        <v>16</v>
      </c>
      <c r="G186">
        <v>9.6999999999999993</v>
      </c>
      <c r="H186" s="1">
        <v>35269</v>
      </c>
      <c r="I186" t="s">
        <v>19</v>
      </c>
      <c r="J186">
        <v>80204</v>
      </c>
      <c r="K186" t="s">
        <v>19</v>
      </c>
      <c r="L186" s="3" t="s">
        <v>21</v>
      </c>
      <c r="M186" cm="1">
        <f t="array" ref="M186">_xlfn.IFS(L185="A", 4, L185="B", 3, L185="C", 2, L185="D", 1)</f>
        <v>3</v>
      </c>
    </row>
    <row r="187" spans="1:13" hidden="1" x14ac:dyDescent="0.2">
      <c r="A187">
        <v>2023</v>
      </c>
      <c r="B187">
        <v>80204</v>
      </c>
      <c r="C187" t="s">
        <v>86</v>
      </c>
      <c r="D187" t="s">
        <v>102</v>
      </c>
      <c r="E187" t="s">
        <v>15</v>
      </c>
      <c r="F187" t="s">
        <v>16</v>
      </c>
      <c r="G187">
        <v>9.6999999999999993</v>
      </c>
      <c r="H187" s="1">
        <v>35269</v>
      </c>
      <c r="I187" t="s">
        <v>22</v>
      </c>
      <c r="J187">
        <v>80204</v>
      </c>
      <c r="K187" t="s">
        <v>22</v>
      </c>
      <c r="L187" s="3" t="s">
        <v>23</v>
      </c>
      <c r="M187" cm="1">
        <f t="array" ref="M187">_xlfn.IFS(L186="A", 4, L186="B", 3, L186="C", 2, L186="D", 1)</f>
        <v>2</v>
      </c>
    </row>
    <row r="188" spans="1:13" hidden="1" x14ac:dyDescent="0.2">
      <c r="A188">
        <v>2023</v>
      </c>
      <c r="B188">
        <v>80204</v>
      </c>
      <c r="C188" t="s">
        <v>86</v>
      </c>
      <c r="D188" t="s">
        <v>102</v>
      </c>
      <c r="E188" t="s">
        <v>15</v>
      </c>
      <c r="F188" t="s">
        <v>16</v>
      </c>
      <c r="G188">
        <v>9.6999999999999993</v>
      </c>
      <c r="H188" s="1">
        <v>35269</v>
      </c>
      <c r="I188" t="s">
        <v>24</v>
      </c>
      <c r="J188">
        <v>80204</v>
      </c>
      <c r="K188" t="s">
        <v>24</v>
      </c>
      <c r="L188" s="3" t="s">
        <v>23</v>
      </c>
      <c r="M188" cm="1">
        <f t="array" ref="M188">_xlfn.IFS(L187="A", 4, L187="B", 3, L187="C", 2, L187="D", 1)</f>
        <v>1</v>
      </c>
    </row>
    <row r="189" spans="1:13" hidden="1" x14ac:dyDescent="0.2">
      <c r="A189">
        <v>2023</v>
      </c>
      <c r="B189">
        <v>80204</v>
      </c>
      <c r="C189" t="s">
        <v>86</v>
      </c>
      <c r="D189" t="s">
        <v>102</v>
      </c>
      <c r="E189" t="s">
        <v>15</v>
      </c>
      <c r="F189" t="s">
        <v>16</v>
      </c>
      <c r="G189">
        <v>9.6999999999999993</v>
      </c>
      <c r="H189" s="1">
        <v>35269</v>
      </c>
      <c r="I189" t="s">
        <v>25</v>
      </c>
      <c r="J189">
        <v>80204</v>
      </c>
      <c r="K189" t="s">
        <v>25</v>
      </c>
      <c r="L189" s="3" t="s">
        <v>23</v>
      </c>
      <c r="M189" cm="1">
        <f t="array" ref="M189">_xlfn.IFS(L188="A", 4, L188="B", 3, L188="C", 2, L188="D", 1)</f>
        <v>1</v>
      </c>
    </row>
    <row r="190" spans="1:13" hidden="1" x14ac:dyDescent="0.2">
      <c r="A190">
        <v>2023</v>
      </c>
      <c r="B190">
        <v>80204</v>
      </c>
      <c r="C190" t="s">
        <v>86</v>
      </c>
      <c r="D190" t="s">
        <v>102</v>
      </c>
      <c r="E190" t="s">
        <v>15</v>
      </c>
      <c r="F190" t="s">
        <v>16</v>
      </c>
      <c r="G190">
        <v>9.6999999999999993</v>
      </c>
      <c r="H190" s="1">
        <v>35269</v>
      </c>
      <c r="I190" t="s">
        <v>26</v>
      </c>
      <c r="J190">
        <v>80204</v>
      </c>
      <c r="K190" t="s">
        <v>26</v>
      </c>
      <c r="L190" s="3" t="s">
        <v>21</v>
      </c>
      <c r="M190" cm="1">
        <f t="array" ref="M190">_xlfn.IFS(L189="A", 4, L189="B", 3, L189="C", 2, L189="D", 1)</f>
        <v>1</v>
      </c>
    </row>
    <row r="191" spans="1:13" hidden="1" x14ac:dyDescent="0.2">
      <c r="A191">
        <v>2023</v>
      </c>
      <c r="B191">
        <v>80204</v>
      </c>
      <c r="C191" t="s">
        <v>13</v>
      </c>
      <c r="D191" t="s">
        <v>103</v>
      </c>
      <c r="E191" t="s">
        <v>15</v>
      </c>
      <c r="F191" t="s">
        <v>16</v>
      </c>
      <c r="G191">
        <v>23.4</v>
      </c>
      <c r="H191" s="1">
        <v>35269</v>
      </c>
      <c r="I191" t="s">
        <v>19</v>
      </c>
      <c r="J191">
        <v>80204</v>
      </c>
      <c r="K191" t="s">
        <v>19</v>
      </c>
      <c r="L191" s="3" t="s">
        <v>20</v>
      </c>
      <c r="M191" cm="1">
        <f t="array" ref="M191">_xlfn.IFS(L190="A", 4, L190="B", 3, L190="C", 2, L190="D", 1)</f>
        <v>2</v>
      </c>
    </row>
    <row r="192" spans="1:13" hidden="1" x14ac:dyDescent="0.2">
      <c r="A192">
        <v>2023</v>
      </c>
      <c r="B192">
        <v>80204</v>
      </c>
      <c r="C192" t="s">
        <v>13</v>
      </c>
      <c r="D192" t="s">
        <v>103</v>
      </c>
      <c r="E192" t="s">
        <v>15</v>
      </c>
      <c r="F192" t="s">
        <v>16</v>
      </c>
      <c r="G192">
        <v>23.4</v>
      </c>
      <c r="H192" s="1">
        <v>35269</v>
      </c>
      <c r="I192" t="s">
        <v>19</v>
      </c>
      <c r="J192">
        <v>80204</v>
      </c>
      <c r="K192" t="s">
        <v>19</v>
      </c>
      <c r="L192" s="3" t="s">
        <v>21</v>
      </c>
      <c r="M192" cm="1">
        <f t="array" ref="M192">_xlfn.IFS(L191="A", 4, L191="B", 3, L191="C", 2, L191="D", 1)</f>
        <v>3</v>
      </c>
    </row>
    <row r="193" spans="1:13" hidden="1" x14ac:dyDescent="0.2">
      <c r="A193">
        <v>2023</v>
      </c>
      <c r="B193">
        <v>80204</v>
      </c>
      <c r="C193" t="s">
        <v>13</v>
      </c>
      <c r="D193" t="s">
        <v>103</v>
      </c>
      <c r="E193" t="s">
        <v>15</v>
      </c>
      <c r="F193" t="s">
        <v>16</v>
      </c>
      <c r="G193">
        <v>23.4</v>
      </c>
      <c r="H193" s="1">
        <v>35269</v>
      </c>
      <c r="I193" t="s">
        <v>22</v>
      </c>
      <c r="J193">
        <v>80204</v>
      </c>
      <c r="K193" t="s">
        <v>22</v>
      </c>
      <c r="L193" s="3" t="s">
        <v>23</v>
      </c>
      <c r="M193" cm="1">
        <f t="array" ref="M193">_xlfn.IFS(L192="A", 4, L192="B", 3, L192="C", 2, L192="D", 1)</f>
        <v>2</v>
      </c>
    </row>
    <row r="194" spans="1:13" hidden="1" x14ac:dyDescent="0.2">
      <c r="A194">
        <v>2023</v>
      </c>
      <c r="B194">
        <v>80204</v>
      </c>
      <c r="C194" t="s">
        <v>13</v>
      </c>
      <c r="D194" t="s">
        <v>103</v>
      </c>
      <c r="E194" t="s">
        <v>15</v>
      </c>
      <c r="F194" t="s">
        <v>16</v>
      </c>
      <c r="G194">
        <v>23.4</v>
      </c>
      <c r="H194" s="1">
        <v>35269</v>
      </c>
      <c r="I194" t="s">
        <v>24</v>
      </c>
      <c r="J194">
        <v>80204</v>
      </c>
      <c r="K194" t="s">
        <v>24</v>
      </c>
      <c r="L194" s="3" t="s">
        <v>23</v>
      </c>
      <c r="M194" cm="1">
        <f t="array" ref="M194">_xlfn.IFS(L193="A", 4, L193="B", 3, L193="C", 2, L193="D", 1)</f>
        <v>1</v>
      </c>
    </row>
    <row r="195" spans="1:13" hidden="1" x14ac:dyDescent="0.2">
      <c r="A195">
        <v>2023</v>
      </c>
      <c r="B195">
        <v>80204</v>
      </c>
      <c r="C195" t="s">
        <v>13</v>
      </c>
      <c r="D195" t="s">
        <v>103</v>
      </c>
      <c r="E195" t="s">
        <v>15</v>
      </c>
      <c r="F195" t="s">
        <v>16</v>
      </c>
      <c r="G195">
        <v>23.4</v>
      </c>
      <c r="H195" s="1">
        <v>35269</v>
      </c>
      <c r="I195" t="s">
        <v>25</v>
      </c>
      <c r="J195">
        <v>80204</v>
      </c>
      <c r="K195" t="s">
        <v>25</v>
      </c>
      <c r="L195" s="3" t="s">
        <v>23</v>
      </c>
      <c r="M195" cm="1">
        <f t="array" ref="M195">_xlfn.IFS(L194="A", 4, L194="B", 3, L194="C", 2, L194="D", 1)</f>
        <v>1</v>
      </c>
    </row>
    <row r="196" spans="1:13" hidden="1" x14ac:dyDescent="0.2">
      <c r="A196">
        <v>2023</v>
      </c>
      <c r="B196">
        <v>80204</v>
      </c>
      <c r="C196" t="s">
        <v>13</v>
      </c>
      <c r="D196" t="s">
        <v>103</v>
      </c>
      <c r="E196" t="s">
        <v>15</v>
      </c>
      <c r="F196" t="s">
        <v>16</v>
      </c>
      <c r="G196">
        <v>23.4</v>
      </c>
      <c r="H196" s="1">
        <v>35269</v>
      </c>
      <c r="I196" t="s">
        <v>26</v>
      </c>
      <c r="J196">
        <v>80204</v>
      </c>
      <c r="K196" t="s">
        <v>26</v>
      </c>
      <c r="L196" s="3" t="s">
        <v>21</v>
      </c>
      <c r="M196" cm="1">
        <f t="array" ref="M196">_xlfn.IFS(L195="A", 4, L195="B", 3, L195="C", 2, L195="D", 1)</f>
        <v>1</v>
      </c>
    </row>
    <row r="197" spans="1:13" hidden="1" x14ac:dyDescent="0.2">
      <c r="A197">
        <v>2023</v>
      </c>
      <c r="B197">
        <v>80204</v>
      </c>
      <c r="C197" t="s">
        <v>94</v>
      </c>
      <c r="D197" t="s">
        <v>104</v>
      </c>
      <c r="E197" t="s">
        <v>15</v>
      </c>
      <c r="F197" t="s">
        <v>16</v>
      </c>
      <c r="G197">
        <v>12</v>
      </c>
      <c r="H197" s="1">
        <v>35269</v>
      </c>
      <c r="I197" t="s">
        <v>19</v>
      </c>
      <c r="J197">
        <v>80204</v>
      </c>
      <c r="K197" t="s">
        <v>19</v>
      </c>
      <c r="L197" s="3" t="s">
        <v>20</v>
      </c>
      <c r="M197" cm="1">
        <f t="array" ref="M197">_xlfn.IFS(L196="A", 4, L196="B", 3, L196="C", 2, L196="D", 1)</f>
        <v>2</v>
      </c>
    </row>
    <row r="198" spans="1:13" hidden="1" x14ac:dyDescent="0.2">
      <c r="A198">
        <v>2023</v>
      </c>
      <c r="B198">
        <v>80204</v>
      </c>
      <c r="C198" t="s">
        <v>94</v>
      </c>
      <c r="D198" t="s">
        <v>104</v>
      </c>
      <c r="E198" t="s">
        <v>15</v>
      </c>
      <c r="F198" t="s">
        <v>16</v>
      </c>
      <c r="G198">
        <v>12</v>
      </c>
      <c r="H198" s="1">
        <v>35269</v>
      </c>
      <c r="I198" t="s">
        <v>19</v>
      </c>
      <c r="J198">
        <v>80204</v>
      </c>
      <c r="K198" t="s">
        <v>19</v>
      </c>
      <c r="L198" s="3" t="s">
        <v>21</v>
      </c>
      <c r="M198" cm="1">
        <f t="array" ref="M198">_xlfn.IFS(L197="A", 4, L197="B", 3, L197="C", 2, L197="D", 1)</f>
        <v>3</v>
      </c>
    </row>
    <row r="199" spans="1:13" hidden="1" x14ac:dyDescent="0.2">
      <c r="A199">
        <v>2023</v>
      </c>
      <c r="B199">
        <v>80204</v>
      </c>
      <c r="C199" t="s">
        <v>94</v>
      </c>
      <c r="D199" t="s">
        <v>104</v>
      </c>
      <c r="E199" t="s">
        <v>15</v>
      </c>
      <c r="F199" t="s">
        <v>16</v>
      </c>
      <c r="G199">
        <v>12</v>
      </c>
      <c r="H199" s="1">
        <v>35269</v>
      </c>
      <c r="I199" t="s">
        <v>22</v>
      </c>
      <c r="J199">
        <v>80204</v>
      </c>
      <c r="K199" t="s">
        <v>22</v>
      </c>
      <c r="L199" s="3" t="s">
        <v>23</v>
      </c>
      <c r="M199" cm="1">
        <f t="array" ref="M199">_xlfn.IFS(L198="A", 4, L198="B", 3, L198="C", 2, L198="D", 1)</f>
        <v>2</v>
      </c>
    </row>
    <row r="200" spans="1:13" hidden="1" x14ac:dyDescent="0.2">
      <c r="A200">
        <v>2023</v>
      </c>
      <c r="B200">
        <v>80204</v>
      </c>
      <c r="C200" t="s">
        <v>94</v>
      </c>
      <c r="D200" t="s">
        <v>104</v>
      </c>
      <c r="E200" t="s">
        <v>15</v>
      </c>
      <c r="F200" t="s">
        <v>16</v>
      </c>
      <c r="G200">
        <v>12</v>
      </c>
      <c r="H200" s="1">
        <v>35269</v>
      </c>
      <c r="I200" t="s">
        <v>24</v>
      </c>
      <c r="J200">
        <v>80204</v>
      </c>
      <c r="K200" t="s">
        <v>24</v>
      </c>
      <c r="L200" s="3" t="s">
        <v>23</v>
      </c>
      <c r="M200" cm="1">
        <f t="array" ref="M200">_xlfn.IFS(L199="A", 4, L199="B", 3, L199="C", 2, L199="D", 1)</f>
        <v>1</v>
      </c>
    </row>
    <row r="201" spans="1:13" hidden="1" x14ac:dyDescent="0.2">
      <c r="A201">
        <v>2023</v>
      </c>
      <c r="B201">
        <v>80204</v>
      </c>
      <c r="C201" t="s">
        <v>94</v>
      </c>
      <c r="D201" t="s">
        <v>104</v>
      </c>
      <c r="E201" t="s">
        <v>15</v>
      </c>
      <c r="F201" t="s">
        <v>16</v>
      </c>
      <c r="G201">
        <v>12</v>
      </c>
      <c r="H201" s="1">
        <v>35269</v>
      </c>
      <c r="I201" t="s">
        <v>25</v>
      </c>
      <c r="J201">
        <v>80204</v>
      </c>
      <c r="K201" t="s">
        <v>25</v>
      </c>
      <c r="L201" s="3" t="s">
        <v>23</v>
      </c>
      <c r="M201" cm="1">
        <f t="array" ref="M201">_xlfn.IFS(L200="A", 4, L200="B", 3, L200="C", 2, L200="D", 1)</f>
        <v>1</v>
      </c>
    </row>
    <row r="202" spans="1:13" hidden="1" x14ac:dyDescent="0.2">
      <c r="A202">
        <v>2023</v>
      </c>
      <c r="B202">
        <v>80204</v>
      </c>
      <c r="C202" t="s">
        <v>94</v>
      </c>
      <c r="D202" t="s">
        <v>104</v>
      </c>
      <c r="E202" t="s">
        <v>15</v>
      </c>
      <c r="F202" t="s">
        <v>16</v>
      </c>
      <c r="G202">
        <v>12</v>
      </c>
      <c r="H202" s="1">
        <v>35269</v>
      </c>
      <c r="I202" t="s">
        <v>26</v>
      </c>
      <c r="J202">
        <v>80204</v>
      </c>
      <c r="K202" t="s">
        <v>26</v>
      </c>
      <c r="L202" s="3" t="s">
        <v>21</v>
      </c>
      <c r="M202" cm="1">
        <f t="array" ref="M202">_xlfn.IFS(L201="A", 4, L201="B", 3, L201="C", 2, L201="D", 1)</f>
        <v>1</v>
      </c>
    </row>
    <row r="203" spans="1:13" hidden="1" x14ac:dyDescent="0.2">
      <c r="A203">
        <v>2023</v>
      </c>
      <c r="B203">
        <v>80204</v>
      </c>
      <c r="C203" t="s">
        <v>86</v>
      </c>
      <c r="D203" t="s">
        <v>105</v>
      </c>
      <c r="E203" t="s">
        <v>15</v>
      </c>
      <c r="F203" t="s">
        <v>16</v>
      </c>
      <c r="G203">
        <v>3.4</v>
      </c>
      <c r="H203" s="1">
        <v>35269</v>
      </c>
      <c r="I203" t="s">
        <v>19</v>
      </c>
      <c r="J203">
        <v>80204</v>
      </c>
      <c r="K203" t="s">
        <v>19</v>
      </c>
      <c r="L203" s="3" t="s">
        <v>20</v>
      </c>
      <c r="M203" cm="1">
        <f t="array" ref="M203">_xlfn.IFS(L202="A", 4, L202="B", 3, L202="C", 2, L202="D", 1)</f>
        <v>2</v>
      </c>
    </row>
    <row r="204" spans="1:13" hidden="1" x14ac:dyDescent="0.2">
      <c r="A204">
        <v>2023</v>
      </c>
      <c r="B204">
        <v>80204</v>
      </c>
      <c r="C204" t="s">
        <v>86</v>
      </c>
      <c r="D204" t="s">
        <v>105</v>
      </c>
      <c r="E204" t="s">
        <v>15</v>
      </c>
      <c r="F204" t="s">
        <v>16</v>
      </c>
      <c r="G204">
        <v>3.4</v>
      </c>
      <c r="H204" s="1">
        <v>35269</v>
      </c>
      <c r="I204" t="s">
        <v>19</v>
      </c>
      <c r="J204">
        <v>80204</v>
      </c>
      <c r="K204" t="s">
        <v>19</v>
      </c>
      <c r="L204" s="3" t="s">
        <v>21</v>
      </c>
      <c r="M204" cm="1">
        <f t="array" ref="M204">_xlfn.IFS(L203="A", 4, L203="B", 3, L203="C", 2, L203="D", 1)</f>
        <v>3</v>
      </c>
    </row>
    <row r="205" spans="1:13" hidden="1" x14ac:dyDescent="0.2">
      <c r="A205">
        <v>2023</v>
      </c>
      <c r="B205">
        <v>80204</v>
      </c>
      <c r="C205" t="s">
        <v>86</v>
      </c>
      <c r="D205" t="s">
        <v>105</v>
      </c>
      <c r="E205" t="s">
        <v>15</v>
      </c>
      <c r="F205" t="s">
        <v>16</v>
      </c>
      <c r="G205">
        <v>3.4</v>
      </c>
      <c r="H205" s="1">
        <v>35269</v>
      </c>
      <c r="I205" t="s">
        <v>22</v>
      </c>
      <c r="J205">
        <v>80204</v>
      </c>
      <c r="K205" t="s">
        <v>22</v>
      </c>
      <c r="L205" s="3" t="s">
        <v>23</v>
      </c>
      <c r="M205" cm="1">
        <f t="array" ref="M205">_xlfn.IFS(L204="A", 4, L204="B", 3, L204="C", 2, L204="D", 1)</f>
        <v>2</v>
      </c>
    </row>
    <row r="206" spans="1:13" hidden="1" x14ac:dyDescent="0.2">
      <c r="A206">
        <v>2023</v>
      </c>
      <c r="B206">
        <v>80204</v>
      </c>
      <c r="C206" t="s">
        <v>86</v>
      </c>
      <c r="D206" t="s">
        <v>105</v>
      </c>
      <c r="E206" t="s">
        <v>15</v>
      </c>
      <c r="F206" t="s">
        <v>16</v>
      </c>
      <c r="G206">
        <v>3.4</v>
      </c>
      <c r="H206" s="1">
        <v>35269</v>
      </c>
      <c r="I206" t="s">
        <v>24</v>
      </c>
      <c r="J206">
        <v>80204</v>
      </c>
      <c r="K206" t="s">
        <v>24</v>
      </c>
      <c r="L206" s="3" t="s">
        <v>23</v>
      </c>
      <c r="M206" cm="1">
        <f t="array" ref="M206">_xlfn.IFS(L205="A", 4, L205="B", 3, L205="C", 2, L205="D", 1)</f>
        <v>1</v>
      </c>
    </row>
    <row r="207" spans="1:13" hidden="1" x14ac:dyDescent="0.2">
      <c r="A207">
        <v>2023</v>
      </c>
      <c r="B207">
        <v>80204</v>
      </c>
      <c r="C207" t="s">
        <v>86</v>
      </c>
      <c r="D207" t="s">
        <v>105</v>
      </c>
      <c r="E207" t="s">
        <v>15</v>
      </c>
      <c r="F207" t="s">
        <v>16</v>
      </c>
      <c r="G207">
        <v>3.4</v>
      </c>
      <c r="H207" s="1">
        <v>35269</v>
      </c>
      <c r="I207" t="s">
        <v>25</v>
      </c>
      <c r="J207">
        <v>80204</v>
      </c>
      <c r="K207" t="s">
        <v>25</v>
      </c>
      <c r="L207" s="3" t="s">
        <v>23</v>
      </c>
      <c r="M207" cm="1">
        <f t="array" ref="M207">_xlfn.IFS(L206="A", 4, L206="B", 3, L206="C", 2, L206="D", 1)</f>
        <v>1</v>
      </c>
    </row>
    <row r="208" spans="1:13" hidden="1" x14ac:dyDescent="0.2">
      <c r="A208">
        <v>2023</v>
      </c>
      <c r="B208">
        <v>80204</v>
      </c>
      <c r="C208" t="s">
        <v>86</v>
      </c>
      <c r="D208" t="s">
        <v>105</v>
      </c>
      <c r="E208" t="s">
        <v>15</v>
      </c>
      <c r="F208" t="s">
        <v>16</v>
      </c>
      <c r="G208">
        <v>3.4</v>
      </c>
      <c r="H208" s="1">
        <v>35269</v>
      </c>
      <c r="I208" t="s">
        <v>26</v>
      </c>
      <c r="J208">
        <v>80204</v>
      </c>
      <c r="K208" t="s">
        <v>26</v>
      </c>
      <c r="L208" s="3" t="s">
        <v>21</v>
      </c>
      <c r="M208" cm="1">
        <f t="array" ref="M208">_xlfn.IFS(L207="A", 4, L207="B", 3, L207="C", 2, L207="D", 1)</f>
        <v>1</v>
      </c>
    </row>
    <row r="209" spans="1:13" hidden="1" x14ac:dyDescent="0.2">
      <c r="A209">
        <v>2022</v>
      </c>
      <c r="B209">
        <v>80204</v>
      </c>
      <c r="C209" t="s">
        <v>77</v>
      </c>
      <c r="D209" t="s">
        <v>106</v>
      </c>
      <c r="E209" t="s">
        <v>15</v>
      </c>
      <c r="F209" t="s">
        <v>16</v>
      </c>
      <c r="G209">
        <v>30.2</v>
      </c>
      <c r="H209" s="1">
        <v>35269</v>
      </c>
      <c r="I209" t="s">
        <v>19</v>
      </c>
      <c r="J209">
        <v>80204</v>
      </c>
      <c r="K209" t="s">
        <v>19</v>
      </c>
      <c r="L209" s="3" t="s">
        <v>20</v>
      </c>
      <c r="M209" cm="1">
        <f t="array" ref="M209">_xlfn.IFS(L208="A", 4, L208="B", 3, L208="C", 2, L208="D", 1)</f>
        <v>2</v>
      </c>
    </row>
    <row r="210" spans="1:13" hidden="1" x14ac:dyDescent="0.2">
      <c r="A210">
        <v>2022</v>
      </c>
      <c r="B210">
        <v>80204</v>
      </c>
      <c r="C210" t="s">
        <v>77</v>
      </c>
      <c r="D210" t="s">
        <v>106</v>
      </c>
      <c r="E210" t="s">
        <v>15</v>
      </c>
      <c r="F210" t="s">
        <v>16</v>
      </c>
      <c r="G210">
        <v>30.2</v>
      </c>
      <c r="H210" s="1">
        <v>35269</v>
      </c>
      <c r="I210" t="s">
        <v>19</v>
      </c>
      <c r="J210">
        <v>80204</v>
      </c>
      <c r="K210" t="s">
        <v>19</v>
      </c>
      <c r="L210" s="3" t="s">
        <v>21</v>
      </c>
      <c r="M210" cm="1">
        <f t="array" ref="M210">_xlfn.IFS(L209="A", 4, L209="B", 3, L209="C", 2, L209="D", 1)</f>
        <v>3</v>
      </c>
    </row>
    <row r="211" spans="1:13" hidden="1" x14ac:dyDescent="0.2">
      <c r="A211">
        <v>2022</v>
      </c>
      <c r="B211">
        <v>80204</v>
      </c>
      <c r="C211" t="s">
        <v>77</v>
      </c>
      <c r="D211" t="s">
        <v>106</v>
      </c>
      <c r="E211" t="s">
        <v>15</v>
      </c>
      <c r="F211" t="s">
        <v>16</v>
      </c>
      <c r="G211">
        <v>30.2</v>
      </c>
      <c r="H211" s="1">
        <v>35269</v>
      </c>
      <c r="I211" t="s">
        <v>22</v>
      </c>
      <c r="J211">
        <v>80204</v>
      </c>
      <c r="K211" t="s">
        <v>22</v>
      </c>
      <c r="L211" s="3" t="s">
        <v>23</v>
      </c>
      <c r="M211" cm="1">
        <f t="array" ref="M211">_xlfn.IFS(L210="A", 4, L210="B", 3, L210="C", 2, L210="D", 1)</f>
        <v>2</v>
      </c>
    </row>
    <row r="212" spans="1:13" hidden="1" x14ac:dyDescent="0.2">
      <c r="A212">
        <v>2022</v>
      </c>
      <c r="B212">
        <v>80204</v>
      </c>
      <c r="C212" t="s">
        <v>77</v>
      </c>
      <c r="D212" t="s">
        <v>106</v>
      </c>
      <c r="E212" t="s">
        <v>15</v>
      </c>
      <c r="F212" t="s">
        <v>16</v>
      </c>
      <c r="G212">
        <v>30.2</v>
      </c>
      <c r="H212" s="1">
        <v>35269</v>
      </c>
      <c r="I212" t="s">
        <v>24</v>
      </c>
      <c r="J212">
        <v>80204</v>
      </c>
      <c r="K212" t="s">
        <v>24</v>
      </c>
      <c r="L212" s="3" t="s">
        <v>23</v>
      </c>
      <c r="M212" cm="1">
        <f t="array" ref="M212">_xlfn.IFS(L211="A", 4, L211="B", 3, L211="C", 2, L211="D", 1)</f>
        <v>1</v>
      </c>
    </row>
    <row r="213" spans="1:13" hidden="1" x14ac:dyDescent="0.2">
      <c r="A213">
        <v>2022</v>
      </c>
      <c r="B213">
        <v>80204</v>
      </c>
      <c r="C213" t="s">
        <v>77</v>
      </c>
      <c r="D213" t="s">
        <v>106</v>
      </c>
      <c r="E213" t="s">
        <v>15</v>
      </c>
      <c r="F213" t="s">
        <v>16</v>
      </c>
      <c r="G213">
        <v>30.2</v>
      </c>
      <c r="H213" s="1">
        <v>35269</v>
      </c>
      <c r="I213" t="s">
        <v>25</v>
      </c>
      <c r="J213">
        <v>80204</v>
      </c>
      <c r="K213" t="s">
        <v>25</v>
      </c>
      <c r="L213" s="3" t="s">
        <v>23</v>
      </c>
      <c r="M213" cm="1">
        <f t="array" ref="M213">_xlfn.IFS(L212="A", 4, L212="B", 3, L212="C", 2, L212="D", 1)</f>
        <v>1</v>
      </c>
    </row>
    <row r="214" spans="1:13" hidden="1" x14ac:dyDescent="0.2">
      <c r="A214">
        <v>2022</v>
      </c>
      <c r="B214">
        <v>80204</v>
      </c>
      <c r="C214" t="s">
        <v>77</v>
      </c>
      <c r="D214" t="s">
        <v>106</v>
      </c>
      <c r="E214" t="s">
        <v>15</v>
      </c>
      <c r="F214" t="s">
        <v>16</v>
      </c>
      <c r="G214">
        <v>30.2</v>
      </c>
      <c r="H214" s="1">
        <v>35269</v>
      </c>
      <c r="I214" t="s">
        <v>26</v>
      </c>
      <c r="J214">
        <v>80204</v>
      </c>
      <c r="K214" t="s">
        <v>26</v>
      </c>
      <c r="L214" s="3" t="s">
        <v>21</v>
      </c>
      <c r="M214" cm="1">
        <f t="array" ref="M214">_xlfn.IFS(L213="A", 4, L213="B", 3, L213="C", 2, L213="D", 1)</f>
        <v>1</v>
      </c>
    </row>
    <row r="215" spans="1:13" hidden="1" x14ac:dyDescent="0.2">
      <c r="A215">
        <v>2023</v>
      </c>
      <c r="B215">
        <v>80204</v>
      </c>
      <c r="C215" t="s">
        <v>13</v>
      </c>
      <c r="D215" t="s">
        <v>107</v>
      </c>
      <c r="E215" t="s">
        <v>15</v>
      </c>
      <c r="F215" t="s">
        <v>16</v>
      </c>
      <c r="G215">
        <v>2.2999999999999998</v>
      </c>
      <c r="H215" s="1">
        <v>35269</v>
      </c>
      <c r="I215" t="s">
        <v>19</v>
      </c>
      <c r="J215">
        <v>80204</v>
      </c>
      <c r="K215" t="s">
        <v>19</v>
      </c>
      <c r="L215" s="3" t="s">
        <v>20</v>
      </c>
      <c r="M215" cm="1">
        <f t="array" ref="M215">_xlfn.IFS(L214="A", 4, L214="B", 3, L214="C", 2, L214="D", 1)</f>
        <v>2</v>
      </c>
    </row>
    <row r="216" spans="1:13" hidden="1" x14ac:dyDescent="0.2">
      <c r="A216">
        <v>2023</v>
      </c>
      <c r="B216">
        <v>80204</v>
      </c>
      <c r="C216" t="s">
        <v>13</v>
      </c>
      <c r="D216" t="s">
        <v>107</v>
      </c>
      <c r="E216" t="s">
        <v>15</v>
      </c>
      <c r="F216" t="s">
        <v>16</v>
      </c>
      <c r="G216">
        <v>2.2999999999999998</v>
      </c>
      <c r="H216" s="1">
        <v>35269</v>
      </c>
      <c r="I216" t="s">
        <v>19</v>
      </c>
      <c r="J216">
        <v>80204</v>
      </c>
      <c r="K216" t="s">
        <v>19</v>
      </c>
      <c r="L216" s="3" t="s">
        <v>21</v>
      </c>
      <c r="M216" cm="1">
        <f t="array" ref="M216">_xlfn.IFS(L215="A", 4, L215="B", 3, L215="C", 2, L215="D", 1)</f>
        <v>3</v>
      </c>
    </row>
    <row r="217" spans="1:13" hidden="1" x14ac:dyDescent="0.2">
      <c r="A217">
        <v>2023</v>
      </c>
      <c r="B217">
        <v>80204</v>
      </c>
      <c r="C217" t="s">
        <v>13</v>
      </c>
      <c r="D217" t="s">
        <v>107</v>
      </c>
      <c r="E217" t="s">
        <v>15</v>
      </c>
      <c r="F217" t="s">
        <v>16</v>
      </c>
      <c r="G217">
        <v>2.2999999999999998</v>
      </c>
      <c r="H217" s="1">
        <v>35269</v>
      </c>
      <c r="I217" t="s">
        <v>22</v>
      </c>
      <c r="J217">
        <v>80204</v>
      </c>
      <c r="K217" t="s">
        <v>22</v>
      </c>
      <c r="L217" s="3" t="s">
        <v>23</v>
      </c>
      <c r="M217" cm="1">
        <f t="array" ref="M217">_xlfn.IFS(L216="A", 4, L216="B", 3, L216="C", 2, L216="D", 1)</f>
        <v>2</v>
      </c>
    </row>
    <row r="218" spans="1:13" hidden="1" x14ac:dyDescent="0.2">
      <c r="A218">
        <v>2023</v>
      </c>
      <c r="B218">
        <v>80204</v>
      </c>
      <c r="C218" t="s">
        <v>13</v>
      </c>
      <c r="D218" t="s">
        <v>107</v>
      </c>
      <c r="E218" t="s">
        <v>15</v>
      </c>
      <c r="F218" t="s">
        <v>16</v>
      </c>
      <c r="G218">
        <v>2.2999999999999998</v>
      </c>
      <c r="H218" s="1">
        <v>35269</v>
      </c>
      <c r="I218" t="s">
        <v>24</v>
      </c>
      <c r="J218">
        <v>80204</v>
      </c>
      <c r="K218" t="s">
        <v>24</v>
      </c>
      <c r="L218" s="3" t="s">
        <v>23</v>
      </c>
      <c r="M218" cm="1">
        <f t="array" ref="M218">_xlfn.IFS(L217="A", 4, L217="B", 3, L217="C", 2, L217="D", 1)</f>
        <v>1</v>
      </c>
    </row>
    <row r="219" spans="1:13" hidden="1" x14ac:dyDescent="0.2">
      <c r="A219">
        <v>2023</v>
      </c>
      <c r="B219">
        <v>80204</v>
      </c>
      <c r="C219" t="s">
        <v>13</v>
      </c>
      <c r="D219" t="s">
        <v>107</v>
      </c>
      <c r="E219" t="s">
        <v>15</v>
      </c>
      <c r="F219" t="s">
        <v>16</v>
      </c>
      <c r="G219">
        <v>2.2999999999999998</v>
      </c>
      <c r="H219" s="1">
        <v>35269</v>
      </c>
      <c r="I219" t="s">
        <v>25</v>
      </c>
      <c r="J219">
        <v>80204</v>
      </c>
      <c r="K219" t="s">
        <v>25</v>
      </c>
      <c r="L219" s="3" t="s">
        <v>23</v>
      </c>
      <c r="M219" cm="1">
        <f t="array" ref="M219">_xlfn.IFS(L218="A", 4, L218="B", 3, L218="C", 2, L218="D", 1)</f>
        <v>1</v>
      </c>
    </row>
    <row r="220" spans="1:13" hidden="1" x14ac:dyDescent="0.2">
      <c r="A220">
        <v>2023</v>
      </c>
      <c r="B220">
        <v>80204</v>
      </c>
      <c r="C220" t="s">
        <v>13</v>
      </c>
      <c r="D220" t="s">
        <v>107</v>
      </c>
      <c r="E220" t="s">
        <v>15</v>
      </c>
      <c r="F220" t="s">
        <v>16</v>
      </c>
      <c r="G220">
        <v>2.2999999999999998</v>
      </c>
      <c r="H220" s="1">
        <v>35269</v>
      </c>
      <c r="I220" t="s">
        <v>26</v>
      </c>
      <c r="J220">
        <v>80204</v>
      </c>
      <c r="K220" t="s">
        <v>26</v>
      </c>
      <c r="L220" s="3" t="s">
        <v>21</v>
      </c>
      <c r="M220" cm="1">
        <f t="array" ref="M220">_xlfn.IFS(L219="A", 4, L219="B", 3, L219="C", 2, L219="D", 1)</f>
        <v>1</v>
      </c>
    </row>
    <row r="221" spans="1:13" hidden="1" x14ac:dyDescent="0.2">
      <c r="A221">
        <v>2022</v>
      </c>
      <c r="B221">
        <v>80204</v>
      </c>
      <c r="C221" t="s">
        <v>13</v>
      </c>
      <c r="D221" t="s">
        <v>108</v>
      </c>
      <c r="E221" t="s">
        <v>15</v>
      </c>
      <c r="F221" t="s">
        <v>16</v>
      </c>
      <c r="G221">
        <v>13.6</v>
      </c>
      <c r="H221" s="1">
        <v>35269</v>
      </c>
      <c r="I221" t="s">
        <v>19</v>
      </c>
      <c r="J221">
        <v>80204</v>
      </c>
      <c r="K221" t="s">
        <v>19</v>
      </c>
      <c r="L221" s="3" t="s">
        <v>20</v>
      </c>
      <c r="M221" cm="1">
        <f t="array" ref="M221">_xlfn.IFS(L220="A", 4, L220="B", 3, L220="C", 2, L220="D", 1)</f>
        <v>2</v>
      </c>
    </row>
    <row r="222" spans="1:13" hidden="1" x14ac:dyDescent="0.2">
      <c r="A222">
        <v>2022</v>
      </c>
      <c r="B222">
        <v>80204</v>
      </c>
      <c r="C222" t="s">
        <v>13</v>
      </c>
      <c r="D222" t="s">
        <v>108</v>
      </c>
      <c r="E222" t="s">
        <v>15</v>
      </c>
      <c r="F222" t="s">
        <v>16</v>
      </c>
      <c r="G222">
        <v>13.6</v>
      </c>
      <c r="H222" s="1">
        <v>35269</v>
      </c>
      <c r="I222" t="s">
        <v>19</v>
      </c>
      <c r="J222">
        <v>80204</v>
      </c>
      <c r="K222" t="s">
        <v>19</v>
      </c>
      <c r="L222" s="3" t="s">
        <v>21</v>
      </c>
      <c r="M222" cm="1">
        <f t="array" ref="M222">_xlfn.IFS(L221="A", 4, L221="B", 3, L221="C", 2, L221="D", 1)</f>
        <v>3</v>
      </c>
    </row>
    <row r="223" spans="1:13" hidden="1" x14ac:dyDescent="0.2">
      <c r="A223">
        <v>2022</v>
      </c>
      <c r="B223">
        <v>80204</v>
      </c>
      <c r="C223" t="s">
        <v>13</v>
      </c>
      <c r="D223" t="s">
        <v>108</v>
      </c>
      <c r="E223" t="s">
        <v>15</v>
      </c>
      <c r="F223" t="s">
        <v>16</v>
      </c>
      <c r="G223">
        <v>13.6</v>
      </c>
      <c r="H223" s="1">
        <v>35269</v>
      </c>
      <c r="I223" t="s">
        <v>22</v>
      </c>
      <c r="J223">
        <v>80204</v>
      </c>
      <c r="K223" t="s">
        <v>22</v>
      </c>
      <c r="L223" s="3" t="s">
        <v>23</v>
      </c>
      <c r="M223" cm="1">
        <f t="array" ref="M223">_xlfn.IFS(L222="A", 4, L222="B", 3, L222="C", 2, L222="D", 1)</f>
        <v>2</v>
      </c>
    </row>
    <row r="224" spans="1:13" hidden="1" x14ac:dyDescent="0.2">
      <c r="A224">
        <v>2022</v>
      </c>
      <c r="B224">
        <v>80204</v>
      </c>
      <c r="C224" t="s">
        <v>13</v>
      </c>
      <c r="D224" t="s">
        <v>108</v>
      </c>
      <c r="E224" t="s">
        <v>15</v>
      </c>
      <c r="F224" t="s">
        <v>16</v>
      </c>
      <c r="G224">
        <v>13.6</v>
      </c>
      <c r="H224" s="1">
        <v>35269</v>
      </c>
      <c r="I224" t="s">
        <v>24</v>
      </c>
      <c r="J224">
        <v>80204</v>
      </c>
      <c r="K224" t="s">
        <v>24</v>
      </c>
      <c r="L224" s="3" t="s">
        <v>23</v>
      </c>
      <c r="M224" cm="1">
        <f t="array" ref="M224">_xlfn.IFS(L223="A", 4, L223="B", 3, L223="C", 2, L223="D", 1)</f>
        <v>1</v>
      </c>
    </row>
    <row r="225" spans="1:13" hidden="1" x14ac:dyDescent="0.2">
      <c r="A225">
        <v>2022</v>
      </c>
      <c r="B225">
        <v>80204</v>
      </c>
      <c r="C225" t="s">
        <v>13</v>
      </c>
      <c r="D225" t="s">
        <v>108</v>
      </c>
      <c r="E225" t="s">
        <v>15</v>
      </c>
      <c r="F225" t="s">
        <v>16</v>
      </c>
      <c r="G225">
        <v>13.6</v>
      </c>
      <c r="H225" s="1">
        <v>35269</v>
      </c>
      <c r="I225" t="s">
        <v>25</v>
      </c>
      <c r="J225">
        <v>80204</v>
      </c>
      <c r="K225" t="s">
        <v>25</v>
      </c>
      <c r="L225" s="3" t="s">
        <v>23</v>
      </c>
      <c r="M225" cm="1">
        <f t="array" ref="M225">_xlfn.IFS(L224="A", 4, L224="B", 3, L224="C", 2, L224="D", 1)</f>
        <v>1</v>
      </c>
    </row>
    <row r="226" spans="1:13" hidden="1" x14ac:dyDescent="0.2">
      <c r="A226">
        <v>2022</v>
      </c>
      <c r="B226">
        <v>80204</v>
      </c>
      <c r="C226" t="s">
        <v>13</v>
      </c>
      <c r="D226" t="s">
        <v>108</v>
      </c>
      <c r="E226" t="s">
        <v>15</v>
      </c>
      <c r="F226" t="s">
        <v>16</v>
      </c>
      <c r="G226">
        <v>13.6</v>
      </c>
      <c r="H226" s="1">
        <v>35269</v>
      </c>
      <c r="I226" t="s">
        <v>26</v>
      </c>
      <c r="J226">
        <v>80204</v>
      </c>
      <c r="K226" t="s">
        <v>26</v>
      </c>
      <c r="L226" s="3" t="s">
        <v>21</v>
      </c>
      <c r="M226" cm="1">
        <f t="array" ref="M226">_xlfn.IFS(L225="A", 4, L225="B", 3, L225="C", 2, L225="D", 1)</f>
        <v>1</v>
      </c>
    </row>
    <row r="227" spans="1:13" hidden="1" x14ac:dyDescent="0.2">
      <c r="A227">
        <v>2023</v>
      </c>
      <c r="B227">
        <v>80204</v>
      </c>
      <c r="C227" t="s">
        <v>86</v>
      </c>
      <c r="D227" t="s">
        <v>109</v>
      </c>
      <c r="E227" t="s">
        <v>15</v>
      </c>
      <c r="F227" t="s">
        <v>16</v>
      </c>
      <c r="G227">
        <v>5.6</v>
      </c>
      <c r="H227" s="1">
        <v>35269</v>
      </c>
      <c r="I227" t="s">
        <v>19</v>
      </c>
      <c r="J227">
        <v>80204</v>
      </c>
      <c r="K227" t="s">
        <v>19</v>
      </c>
      <c r="L227" s="3" t="s">
        <v>20</v>
      </c>
      <c r="M227" cm="1">
        <f t="array" ref="M227">_xlfn.IFS(L226="A", 4, L226="B", 3, L226="C", 2, L226="D", 1)</f>
        <v>2</v>
      </c>
    </row>
    <row r="228" spans="1:13" hidden="1" x14ac:dyDescent="0.2">
      <c r="A228">
        <v>2023</v>
      </c>
      <c r="B228">
        <v>80204</v>
      </c>
      <c r="C228" t="s">
        <v>86</v>
      </c>
      <c r="D228" t="s">
        <v>109</v>
      </c>
      <c r="E228" t="s">
        <v>15</v>
      </c>
      <c r="F228" t="s">
        <v>16</v>
      </c>
      <c r="G228">
        <v>5.6</v>
      </c>
      <c r="H228" s="1">
        <v>35269</v>
      </c>
      <c r="I228" t="s">
        <v>19</v>
      </c>
      <c r="J228">
        <v>80204</v>
      </c>
      <c r="K228" t="s">
        <v>19</v>
      </c>
      <c r="L228" s="3" t="s">
        <v>21</v>
      </c>
      <c r="M228" cm="1">
        <f t="array" ref="M228">_xlfn.IFS(L227="A", 4, L227="B", 3, L227="C", 2, L227="D", 1)</f>
        <v>3</v>
      </c>
    </row>
    <row r="229" spans="1:13" hidden="1" x14ac:dyDescent="0.2">
      <c r="A229">
        <v>2023</v>
      </c>
      <c r="B229">
        <v>80204</v>
      </c>
      <c r="C229" t="s">
        <v>86</v>
      </c>
      <c r="D229" t="s">
        <v>109</v>
      </c>
      <c r="E229" t="s">
        <v>15</v>
      </c>
      <c r="F229" t="s">
        <v>16</v>
      </c>
      <c r="G229">
        <v>5.6</v>
      </c>
      <c r="H229" s="1">
        <v>35269</v>
      </c>
      <c r="I229" t="s">
        <v>22</v>
      </c>
      <c r="J229">
        <v>80204</v>
      </c>
      <c r="K229" t="s">
        <v>22</v>
      </c>
      <c r="L229" s="3" t="s">
        <v>23</v>
      </c>
      <c r="M229" cm="1">
        <f t="array" ref="M229">_xlfn.IFS(L228="A", 4, L228="B", 3, L228="C", 2, L228="D", 1)</f>
        <v>2</v>
      </c>
    </row>
    <row r="230" spans="1:13" hidden="1" x14ac:dyDescent="0.2">
      <c r="A230">
        <v>2023</v>
      </c>
      <c r="B230">
        <v>80204</v>
      </c>
      <c r="C230" t="s">
        <v>86</v>
      </c>
      <c r="D230" t="s">
        <v>109</v>
      </c>
      <c r="E230" t="s">
        <v>15</v>
      </c>
      <c r="F230" t="s">
        <v>16</v>
      </c>
      <c r="G230">
        <v>5.6</v>
      </c>
      <c r="H230" s="1">
        <v>35269</v>
      </c>
      <c r="I230" t="s">
        <v>24</v>
      </c>
      <c r="J230">
        <v>80204</v>
      </c>
      <c r="K230" t="s">
        <v>24</v>
      </c>
      <c r="L230" s="3" t="s">
        <v>23</v>
      </c>
      <c r="M230" cm="1">
        <f t="array" ref="M230">_xlfn.IFS(L229="A", 4, L229="B", 3, L229="C", 2, L229="D", 1)</f>
        <v>1</v>
      </c>
    </row>
    <row r="231" spans="1:13" hidden="1" x14ac:dyDescent="0.2">
      <c r="A231">
        <v>2023</v>
      </c>
      <c r="B231">
        <v>80204</v>
      </c>
      <c r="C231" t="s">
        <v>86</v>
      </c>
      <c r="D231" t="s">
        <v>109</v>
      </c>
      <c r="E231" t="s">
        <v>15</v>
      </c>
      <c r="F231" t="s">
        <v>16</v>
      </c>
      <c r="G231">
        <v>5.6</v>
      </c>
      <c r="H231" s="1">
        <v>35269</v>
      </c>
      <c r="I231" t="s">
        <v>25</v>
      </c>
      <c r="J231">
        <v>80204</v>
      </c>
      <c r="K231" t="s">
        <v>25</v>
      </c>
      <c r="L231" s="3" t="s">
        <v>23</v>
      </c>
      <c r="M231" cm="1">
        <f t="array" ref="M231">_xlfn.IFS(L230="A", 4, L230="B", 3, L230="C", 2, L230="D", 1)</f>
        <v>1</v>
      </c>
    </row>
    <row r="232" spans="1:13" hidden="1" x14ac:dyDescent="0.2">
      <c r="A232">
        <v>2023</v>
      </c>
      <c r="B232">
        <v>80204</v>
      </c>
      <c r="C232" t="s">
        <v>86</v>
      </c>
      <c r="D232" t="s">
        <v>109</v>
      </c>
      <c r="E232" t="s">
        <v>15</v>
      </c>
      <c r="F232" t="s">
        <v>16</v>
      </c>
      <c r="G232">
        <v>5.6</v>
      </c>
      <c r="H232" s="1">
        <v>35269</v>
      </c>
      <c r="I232" t="s">
        <v>26</v>
      </c>
      <c r="J232">
        <v>80204</v>
      </c>
      <c r="K232" t="s">
        <v>26</v>
      </c>
      <c r="L232" s="3" t="s">
        <v>21</v>
      </c>
      <c r="M232" cm="1">
        <f t="array" ref="M232">_xlfn.IFS(L231="A", 4, L231="B", 3, L231="C", 2, L231="D", 1)</f>
        <v>1</v>
      </c>
    </row>
    <row r="233" spans="1:13" hidden="1" x14ac:dyDescent="0.2">
      <c r="A233">
        <v>2023</v>
      </c>
      <c r="B233">
        <v>80205</v>
      </c>
      <c r="C233" t="s">
        <v>74</v>
      </c>
      <c r="D233" t="s">
        <v>75</v>
      </c>
      <c r="E233" t="s">
        <v>15</v>
      </c>
      <c r="F233" t="s">
        <v>16</v>
      </c>
      <c r="G233">
        <v>12.1</v>
      </c>
      <c r="H233" s="1">
        <v>34967</v>
      </c>
      <c r="I233" t="s">
        <v>27</v>
      </c>
      <c r="J233">
        <v>80205</v>
      </c>
      <c r="K233" t="s">
        <v>27</v>
      </c>
      <c r="L233" s="3" t="s">
        <v>21</v>
      </c>
      <c r="M233" cm="1">
        <f t="array" ref="M233">_xlfn.IFS(L232="A", 4, L232="B", 3, L232="C", 2, L232="D", 1)</f>
        <v>2</v>
      </c>
    </row>
    <row r="234" spans="1:13" hidden="1" x14ac:dyDescent="0.2">
      <c r="A234">
        <v>2023</v>
      </c>
      <c r="B234">
        <v>80205</v>
      </c>
      <c r="C234" t="s">
        <v>74</v>
      </c>
      <c r="D234" t="s">
        <v>75</v>
      </c>
      <c r="E234" t="s">
        <v>15</v>
      </c>
      <c r="F234" t="s">
        <v>16</v>
      </c>
      <c r="G234">
        <v>12.1</v>
      </c>
      <c r="H234" s="1">
        <v>34967</v>
      </c>
      <c r="I234" t="s">
        <v>28</v>
      </c>
      <c r="J234">
        <v>80205</v>
      </c>
      <c r="K234" t="s">
        <v>28</v>
      </c>
      <c r="L234" s="3" t="s">
        <v>23</v>
      </c>
      <c r="M234" cm="1">
        <f t="array" ref="M234">_xlfn.IFS(L233="A", 4, L233="B", 3, L233="C", 2, L233="D", 1)</f>
        <v>2</v>
      </c>
    </row>
    <row r="235" spans="1:13" hidden="1" x14ac:dyDescent="0.2">
      <c r="A235">
        <v>2023</v>
      </c>
      <c r="B235">
        <v>80205</v>
      </c>
      <c r="C235" t="s">
        <v>74</v>
      </c>
      <c r="D235" t="s">
        <v>75</v>
      </c>
      <c r="E235" t="s">
        <v>15</v>
      </c>
      <c r="F235" t="s">
        <v>16</v>
      </c>
      <c r="G235">
        <v>12.1</v>
      </c>
      <c r="H235" s="1">
        <v>34967</v>
      </c>
      <c r="I235" t="s">
        <v>29</v>
      </c>
      <c r="J235">
        <v>80205</v>
      </c>
      <c r="K235" t="s">
        <v>29</v>
      </c>
      <c r="L235" s="3" t="s">
        <v>23</v>
      </c>
      <c r="M235" cm="1">
        <f t="array" ref="M235">_xlfn.IFS(L234="A", 4, L234="B", 3, L234="C", 2, L234="D", 1)</f>
        <v>1</v>
      </c>
    </row>
    <row r="236" spans="1:13" hidden="1" x14ac:dyDescent="0.2">
      <c r="A236">
        <v>2023</v>
      </c>
      <c r="B236">
        <v>80205</v>
      </c>
      <c r="C236" t="s">
        <v>74</v>
      </c>
      <c r="D236" t="s">
        <v>75</v>
      </c>
      <c r="E236" t="s">
        <v>15</v>
      </c>
      <c r="F236" t="s">
        <v>16</v>
      </c>
      <c r="G236">
        <v>12.1</v>
      </c>
      <c r="H236" s="1">
        <v>34967</v>
      </c>
      <c r="I236" t="s">
        <v>30</v>
      </c>
      <c r="J236">
        <v>80205</v>
      </c>
      <c r="K236" t="s">
        <v>30</v>
      </c>
      <c r="L236" s="3" t="s">
        <v>23</v>
      </c>
      <c r="M236" cm="1">
        <f t="array" ref="M236">_xlfn.IFS(L235="A", 4, L235="B", 3, L235="C", 2, L235="D", 1)</f>
        <v>1</v>
      </c>
    </row>
    <row r="237" spans="1:13" hidden="1" x14ac:dyDescent="0.2">
      <c r="A237">
        <v>2023</v>
      </c>
      <c r="B237">
        <v>80205</v>
      </c>
      <c r="C237" t="s">
        <v>74</v>
      </c>
      <c r="D237" t="s">
        <v>75</v>
      </c>
      <c r="E237" t="s">
        <v>15</v>
      </c>
      <c r="F237" t="s">
        <v>16</v>
      </c>
      <c r="G237">
        <v>12.1</v>
      </c>
      <c r="H237" s="1">
        <v>34967</v>
      </c>
      <c r="I237" t="s">
        <v>30</v>
      </c>
      <c r="J237">
        <v>80205</v>
      </c>
      <c r="K237" t="s">
        <v>30</v>
      </c>
      <c r="L237" s="3" t="s">
        <v>23</v>
      </c>
      <c r="M237" cm="1">
        <f t="array" ref="M237">_xlfn.IFS(L236="A", 4, L236="B", 3, L236="C", 2, L236="D", 1)</f>
        <v>1</v>
      </c>
    </row>
    <row r="238" spans="1:13" hidden="1" x14ac:dyDescent="0.2">
      <c r="A238">
        <v>2023</v>
      </c>
      <c r="B238">
        <v>80205</v>
      </c>
      <c r="C238" t="s">
        <v>13</v>
      </c>
      <c r="D238" t="s">
        <v>76</v>
      </c>
      <c r="E238" t="s">
        <v>15</v>
      </c>
      <c r="F238" t="s">
        <v>16</v>
      </c>
      <c r="G238">
        <v>15.7</v>
      </c>
      <c r="H238" s="1">
        <v>34967</v>
      </c>
      <c r="I238" t="s">
        <v>27</v>
      </c>
      <c r="J238">
        <v>80205</v>
      </c>
      <c r="K238" t="s">
        <v>27</v>
      </c>
      <c r="L238" s="3" t="s">
        <v>21</v>
      </c>
      <c r="M238" cm="1">
        <f t="array" ref="M238">_xlfn.IFS(L237="A", 4, L237="B", 3, L237="C", 2, L237="D", 1)</f>
        <v>1</v>
      </c>
    </row>
    <row r="239" spans="1:13" hidden="1" x14ac:dyDescent="0.2">
      <c r="A239">
        <v>2023</v>
      </c>
      <c r="B239">
        <v>80205</v>
      </c>
      <c r="C239" t="s">
        <v>13</v>
      </c>
      <c r="D239" t="s">
        <v>76</v>
      </c>
      <c r="E239" t="s">
        <v>15</v>
      </c>
      <c r="F239" t="s">
        <v>16</v>
      </c>
      <c r="G239">
        <v>15.7</v>
      </c>
      <c r="H239" s="1">
        <v>34967</v>
      </c>
      <c r="I239" t="s">
        <v>28</v>
      </c>
      <c r="J239">
        <v>80205</v>
      </c>
      <c r="K239" t="s">
        <v>28</v>
      </c>
      <c r="L239" s="3" t="s">
        <v>23</v>
      </c>
      <c r="M239" cm="1">
        <f t="array" ref="M239">_xlfn.IFS(L238="A", 4, L238="B", 3, L238="C", 2, L238="D", 1)</f>
        <v>2</v>
      </c>
    </row>
    <row r="240" spans="1:13" hidden="1" x14ac:dyDescent="0.2">
      <c r="A240">
        <v>2023</v>
      </c>
      <c r="B240">
        <v>80205</v>
      </c>
      <c r="C240" t="s">
        <v>13</v>
      </c>
      <c r="D240" t="s">
        <v>76</v>
      </c>
      <c r="E240" t="s">
        <v>15</v>
      </c>
      <c r="F240" t="s">
        <v>16</v>
      </c>
      <c r="G240">
        <v>15.7</v>
      </c>
      <c r="H240" s="1">
        <v>34967</v>
      </c>
      <c r="I240" t="s">
        <v>29</v>
      </c>
      <c r="J240">
        <v>80205</v>
      </c>
      <c r="K240" t="s">
        <v>29</v>
      </c>
      <c r="L240" s="3" t="s">
        <v>23</v>
      </c>
      <c r="M240" cm="1">
        <f t="array" ref="M240">_xlfn.IFS(L239="A", 4, L239="B", 3, L239="C", 2, L239="D", 1)</f>
        <v>1</v>
      </c>
    </row>
    <row r="241" spans="1:13" hidden="1" x14ac:dyDescent="0.2">
      <c r="A241">
        <v>2023</v>
      </c>
      <c r="B241">
        <v>80205</v>
      </c>
      <c r="C241" t="s">
        <v>13</v>
      </c>
      <c r="D241" t="s">
        <v>76</v>
      </c>
      <c r="E241" t="s">
        <v>15</v>
      </c>
      <c r="F241" t="s">
        <v>16</v>
      </c>
      <c r="G241">
        <v>15.7</v>
      </c>
      <c r="H241" s="1">
        <v>34967</v>
      </c>
      <c r="I241" t="s">
        <v>30</v>
      </c>
      <c r="J241">
        <v>80205</v>
      </c>
      <c r="K241" t="s">
        <v>30</v>
      </c>
      <c r="L241" s="3" t="s">
        <v>23</v>
      </c>
      <c r="M241" cm="1">
        <f t="array" ref="M241">_xlfn.IFS(L240="A", 4, L240="B", 3, L240="C", 2, L240="D", 1)</f>
        <v>1</v>
      </c>
    </row>
    <row r="242" spans="1:13" hidden="1" x14ac:dyDescent="0.2">
      <c r="A242">
        <v>2023</v>
      </c>
      <c r="B242">
        <v>80205</v>
      </c>
      <c r="C242" t="s">
        <v>13</v>
      </c>
      <c r="D242" t="s">
        <v>76</v>
      </c>
      <c r="E242" t="s">
        <v>15</v>
      </c>
      <c r="F242" t="s">
        <v>16</v>
      </c>
      <c r="G242">
        <v>15.7</v>
      </c>
      <c r="H242" s="1">
        <v>34967</v>
      </c>
      <c r="I242" t="s">
        <v>30</v>
      </c>
      <c r="J242">
        <v>80205</v>
      </c>
      <c r="K242" t="s">
        <v>30</v>
      </c>
      <c r="L242" s="3" t="s">
        <v>23</v>
      </c>
      <c r="M242" cm="1">
        <f t="array" ref="M242">_xlfn.IFS(L241="A", 4, L241="B", 3, L241="C", 2, L241="D", 1)</f>
        <v>1</v>
      </c>
    </row>
    <row r="243" spans="1:13" hidden="1" x14ac:dyDescent="0.2">
      <c r="A243">
        <v>2023</v>
      </c>
      <c r="B243">
        <v>80205</v>
      </c>
      <c r="C243" t="s">
        <v>77</v>
      </c>
      <c r="D243" t="s">
        <v>78</v>
      </c>
      <c r="E243" t="s">
        <v>15</v>
      </c>
      <c r="F243" t="s">
        <v>16</v>
      </c>
      <c r="G243">
        <v>27.4</v>
      </c>
      <c r="H243" s="1">
        <v>34967</v>
      </c>
      <c r="I243" t="s">
        <v>27</v>
      </c>
      <c r="J243">
        <v>80205</v>
      </c>
      <c r="K243" t="s">
        <v>27</v>
      </c>
      <c r="L243" s="3" t="s">
        <v>21</v>
      </c>
      <c r="M243" cm="1">
        <f t="array" ref="M243">_xlfn.IFS(L242="A", 4, L242="B", 3, L242="C", 2, L242="D", 1)</f>
        <v>1</v>
      </c>
    </row>
    <row r="244" spans="1:13" hidden="1" x14ac:dyDescent="0.2">
      <c r="A244">
        <v>2023</v>
      </c>
      <c r="B244">
        <v>80205</v>
      </c>
      <c r="C244" t="s">
        <v>77</v>
      </c>
      <c r="D244" t="s">
        <v>78</v>
      </c>
      <c r="E244" t="s">
        <v>15</v>
      </c>
      <c r="F244" t="s">
        <v>16</v>
      </c>
      <c r="G244">
        <v>27.4</v>
      </c>
      <c r="H244" s="1">
        <v>34967</v>
      </c>
      <c r="I244" t="s">
        <v>28</v>
      </c>
      <c r="J244">
        <v>80205</v>
      </c>
      <c r="K244" t="s">
        <v>28</v>
      </c>
      <c r="L244" s="3" t="s">
        <v>23</v>
      </c>
      <c r="M244" cm="1">
        <f t="array" ref="M244">_xlfn.IFS(L243="A", 4, L243="B", 3, L243="C", 2, L243="D", 1)</f>
        <v>2</v>
      </c>
    </row>
    <row r="245" spans="1:13" hidden="1" x14ac:dyDescent="0.2">
      <c r="A245">
        <v>2023</v>
      </c>
      <c r="B245">
        <v>80205</v>
      </c>
      <c r="C245" t="s">
        <v>77</v>
      </c>
      <c r="D245" t="s">
        <v>78</v>
      </c>
      <c r="E245" t="s">
        <v>15</v>
      </c>
      <c r="F245" t="s">
        <v>16</v>
      </c>
      <c r="G245">
        <v>27.4</v>
      </c>
      <c r="H245" s="1">
        <v>34967</v>
      </c>
      <c r="I245" t="s">
        <v>29</v>
      </c>
      <c r="J245">
        <v>80205</v>
      </c>
      <c r="K245" t="s">
        <v>29</v>
      </c>
      <c r="L245" s="3" t="s">
        <v>23</v>
      </c>
      <c r="M245" cm="1">
        <f t="array" ref="M245">_xlfn.IFS(L244="A", 4, L244="B", 3, L244="C", 2, L244="D", 1)</f>
        <v>1</v>
      </c>
    </row>
    <row r="246" spans="1:13" hidden="1" x14ac:dyDescent="0.2">
      <c r="A246">
        <v>2023</v>
      </c>
      <c r="B246">
        <v>80205</v>
      </c>
      <c r="C246" t="s">
        <v>77</v>
      </c>
      <c r="D246" t="s">
        <v>78</v>
      </c>
      <c r="E246" t="s">
        <v>15</v>
      </c>
      <c r="F246" t="s">
        <v>16</v>
      </c>
      <c r="G246">
        <v>27.4</v>
      </c>
      <c r="H246" s="1">
        <v>34967</v>
      </c>
      <c r="I246" t="s">
        <v>30</v>
      </c>
      <c r="J246">
        <v>80205</v>
      </c>
      <c r="K246" t="s">
        <v>30</v>
      </c>
      <c r="L246" s="3" t="s">
        <v>23</v>
      </c>
      <c r="M246" cm="1">
        <f t="array" ref="M246">_xlfn.IFS(L245="A", 4, L245="B", 3, L245="C", 2, L245="D", 1)</f>
        <v>1</v>
      </c>
    </row>
    <row r="247" spans="1:13" hidden="1" x14ac:dyDescent="0.2">
      <c r="A247">
        <v>2023</v>
      </c>
      <c r="B247">
        <v>80205</v>
      </c>
      <c r="C247" t="s">
        <v>77</v>
      </c>
      <c r="D247" t="s">
        <v>78</v>
      </c>
      <c r="E247" t="s">
        <v>15</v>
      </c>
      <c r="F247" t="s">
        <v>16</v>
      </c>
      <c r="G247">
        <v>27.4</v>
      </c>
      <c r="H247" s="1">
        <v>34967</v>
      </c>
      <c r="I247" t="s">
        <v>30</v>
      </c>
      <c r="J247">
        <v>80205</v>
      </c>
      <c r="K247" t="s">
        <v>30</v>
      </c>
      <c r="L247" s="3" t="s">
        <v>23</v>
      </c>
      <c r="M247" cm="1">
        <f t="array" ref="M247">_xlfn.IFS(L246="A", 4, L246="B", 3, L246="C", 2, L246="D", 1)</f>
        <v>1</v>
      </c>
    </row>
    <row r="248" spans="1:13" hidden="1" x14ac:dyDescent="0.2">
      <c r="A248">
        <v>2023</v>
      </c>
      <c r="B248">
        <v>80205</v>
      </c>
      <c r="C248" t="s">
        <v>13</v>
      </c>
      <c r="D248" t="s">
        <v>79</v>
      </c>
      <c r="E248" t="s">
        <v>15</v>
      </c>
      <c r="F248" t="s">
        <v>16</v>
      </c>
      <c r="G248">
        <v>20.3</v>
      </c>
      <c r="H248" s="1">
        <v>34967</v>
      </c>
      <c r="I248" t="s">
        <v>27</v>
      </c>
      <c r="J248">
        <v>80205</v>
      </c>
      <c r="K248" t="s">
        <v>27</v>
      </c>
      <c r="L248" s="3" t="s">
        <v>21</v>
      </c>
      <c r="M248" cm="1">
        <f t="array" ref="M248">_xlfn.IFS(L247="A", 4, L247="B", 3, L247="C", 2, L247="D", 1)</f>
        <v>1</v>
      </c>
    </row>
    <row r="249" spans="1:13" hidden="1" x14ac:dyDescent="0.2">
      <c r="A249">
        <v>2023</v>
      </c>
      <c r="B249">
        <v>80205</v>
      </c>
      <c r="C249" t="s">
        <v>13</v>
      </c>
      <c r="D249" t="s">
        <v>79</v>
      </c>
      <c r="E249" t="s">
        <v>15</v>
      </c>
      <c r="F249" t="s">
        <v>16</v>
      </c>
      <c r="G249">
        <v>20.3</v>
      </c>
      <c r="H249" s="1">
        <v>34967</v>
      </c>
      <c r="I249" t="s">
        <v>28</v>
      </c>
      <c r="J249">
        <v>80205</v>
      </c>
      <c r="K249" t="s">
        <v>28</v>
      </c>
      <c r="L249" s="3" t="s">
        <v>23</v>
      </c>
      <c r="M249" cm="1">
        <f t="array" ref="M249">_xlfn.IFS(L248="A", 4, L248="B", 3, L248="C", 2, L248="D", 1)</f>
        <v>2</v>
      </c>
    </row>
    <row r="250" spans="1:13" hidden="1" x14ac:dyDescent="0.2">
      <c r="A250">
        <v>2023</v>
      </c>
      <c r="B250">
        <v>80205</v>
      </c>
      <c r="C250" t="s">
        <v>13</v>
      </c>
      <c r="D250" t="s">
        <v>79</v>
      </c>
      <c r="E250" t="s">
        <v>15</v>
      </c>
      <c r="F250" t="s">
        <v>16</v>
      </c>
      <c r="G250">
        <v>20.3</v>
      </c>
      <c r="H250" s="1">
        <v>34967</v>
      </c>
      <c r="I250" t="s">
        <v>29</v>
      </c>
      <c r="J250">
        <v>80205</v>
      </c>
      <c r="K250" t="s">
        <v>29</v>
      </c>
      <c r="L250" s="3" t="s">
        <v>23</v>
      </c>
      <c r="M250" cm="1">
        <f t="array" ref="M250">_xlfn.IFS(L249="A", 4, L249="B", 3, L249="C", 2, L249="D", 1)</f>
        <v>1</v>
      </c>
    </row>
    <row r="251" spans="1:13" hidden="1" x14ac:dyDescent="0.2">
      <c r="A251">
        <v>2023</v>
      </c>
      <c r="B251">
        <v>80205</v>
      </c>
      <c r="C251" t="s">
        <v>13</v>
      </c>
      <c r="D251" t="s">
        <v>79</v>
      </c>
      <c r="E251" t="s">
        <v>15</v>
      </c>
      <c r="F251" t="s">
        <v>16</v>
      </c>
      <c r="G251">
        <v>20.3</v>
      </c>
      <c r="H251" s="1">
        <v>34967</v>
      </c>
      <c r="I251" t="s">
        <v>30</v>
      </c>
      <c r="J251">
        <v>80205</v>
      </c>
      <c r="K251" t="s">
        <v>30</v>
      </c>
      <c r="L251" s="3" t="s">
        <v>23</v>
      </c>
      <c r="M251" cm="1">
        <f t="array" ref="M251">_xlfn.IFS(L250="A", 4, L250="B", 3, L250="C", 2, L250="D", 1)</f>
        <v>1</v>
      </c>
    </row>
    <row r="252" spans="1:13" hidden="1" x14ac:dyDescent="0.2">
      <c r="A252">
        <v>2023</v>
      </c>
      <c r="B252">
        <v>80205</v>
      </c>
      <c r="C252" t="s">
        <v>13</v>
      </c>
      <c r="D252" t="s">
        <v>79</v>
      </c>
      <c r="E252" t="s">
        <v>15</v>
      </c>
      <c r="F252" t="s">
        <v>16</v>
      </c>
      <c r="G252">
        <v>20.3</v>
      </c>
      <c r="H252" s="1">
        <v>34967</v>
      </c>
      <c r="I252" t="s">
        <v>30</v>
      </c>
      <c r="J252">
        <v>80205</v>
      </c>
      <c r="K252" t="s">
        <v>30</v>
      </c>
      <c r="L252" s="3" t="s">
        <v>23</v>
      </c>
      <c r="M252" cm="1">
        <f t="array" ref="M252">_xlfn.IFS(L251="A", 4, L251="B", 3, L251="C", 2, L251="D", 1)</f>
        <v>1</v>
      </c>
    </row>
    <row r="253" spans="1:13" hidden="1" x14ac:dyDescent="0.2">
      <c r="A253">
        <v>2023</v>
      </c>
      <c r="B253">
        <v>80205</v>
      </c>
      <c r="C253" t="s">
        <v>74</v>
      </c>
      <c r="D253" t="s">
        <v>80</v>
      </c>
      <c r="E253" t="s">
        <v>15</v>
      </c>
      <c r="F253" t="s">
        <v>16</v>
      </c>
      <c r="G253">
        <v>60.9</v>
      </c>
      <c r="H253" s="1">
        <v>34967</v>
      </c>
      <c r="I253" t="s">
        <v>27</v>
      </c>
      <c r="J253">
        <v>80205</v>
      </c>
      <c r="K253" t="s">
        <v>27</v>
      </c>
      <c r="L253" s="3" t="s">
        <v>21</v>
      </c>
      <c r="M253" cm="1">
        <f t="array" ref="M253">_xlfn.IFS(L252="A", 4, L252="B", 3, L252="C", 2, L252="D", 1)</f>
        <v>1</v>
      </c>
    </row>
    <row r="254" spans="1:13" hidden="1" x14ac:dyDescent="0.2">
      <c r="A254">
        <v>2023</v>
      </c>
      <c r="B254">
        <v>80205</v>
      </c>
      <c r="C254" t="s">
        <v>74</v>
      </c>
      <c r="D254" t="s">
        <v>80</v>
      </c>
      <c r="E254" t="s">
        <v>15</v>
      </c>
      <c r="F254" t="s">
        <v>16</v>
      </c>
      <c r="G254">
        <v>60.9</v>
      </c>
      <c r="H254" s="1">
        <v>34967</v>
      </c>
      <c r="I254" t="s">
        <v>28</v>
      </c>
      <c r="J254">
        <v>80205</v>
      </c>
      <c r="K254" t="s">
        <v>28</v>
      </c>
      <c r="L254" s="3" t="s">
        <v>23</v>
      </c>
      <c r="M254" cm="1">
        <f t="array" ref="M254">_xlfn.IFS(L253="A", 4, L253="B", 3, L253="C", 2, L253="D", 1)</f>
        <v>2</v>
      </c>
    </row>
    <row r="255" spans="1:13" hidden="1" x14ac:dyDescent="0.2">
      <c r="A255">
        <v>2023</v>
      </c>
      <c r="B255">
        <v>80205</v>
      </c>
      <c r="C255" t="s">
        <v>74</v>
      </c>
      <c r="D255" t="s">
        <v>80</v>
      </c>
      <c r="E255" t="s">
        <v>15</v>
      </c>
      <c r="F255" t="s">
        <v>16</v>
      </c>
      <c r="G255">
        <v>60.9</v>
      </c>
      <c r="H255" s="1">
        <v>34967</v>
      </c>
      <c r="I255" t="s">
        <v>29</v>
      </c>
      <c r="J255">
        <v>80205</v>
      </c>
      <c r="K255" t="s">
        <v>29</v>
      </c>
      <c r="L255" s="3" t="s">
        <v>23</v>
      </c>
      <c r="M255" cm="1">
        <f t="array" ref="M255">_xlfn.IFS(L254="A", 4, L254="B", 3, L254="C", 2, L254="D", 1)</f>
        <v>1</v>
      </c>
    </row>
    <row r="256" spans="1:13" hidden="1" x14ac:dyDescent="0.2">
      <c r="A256">
        <v>2023</v>
      </c>
      <c r="B256">
        <v>80205</v>
      </c>
      <c r="C256" t="s">
        <v>74</v>
      </c>
      <c r="D256" t="s">
        <v>80</v>
      </c>
      <c r="E256" t="s">
        <v>15</v>
      </c>
      <c r="F256" t="s">
        <v>16</v>
      </c>
      <c r="G256">
        <v>60.9</v>
      </c>
      <c r="H256" s="1">
        <v>34967</v>
      </c>
      <c r="I256" t="s">
        <v>30</v>
      </c>
      <c r="J256">
        <v>80205</v>
      </c>
      <c r="K256" t="s">
        <v>30</v>
      </c>
      <c r="L256" s="3" t="s">
        <v>23</v>
      </c>
      <c r="M256" cm="1">
        <f t="array" ref="M256">_xlfn.IFS(L255="A", 4, L255="B", 3, L255="C", 2, L255="D", 1)</f>
        <v>1</v>
      </c>
    </row>
    <row r="257" spans="1:13" hidden="1" x14ac:dyDescent="0.2">
      <c r="A257">
        <v>2023</v>
      </c>
      <c r="B257">
        <v>80205</v>
      </c>
      <c r="C257" t="s">
        <v>74</v>
      </c>
      <c r="D257" t="s">
        <v>80</v>
      </c>
      <c r="E257" t="s">
        <v>15</v>
      </c>
      <c r="F257" t="s">
        <v>16</v>
      </c>
      <c r="G257">
        <v>60.9</v>
      </c>
      <c r="H257" s="1">
        <v>34967</v>
      </c>
      <c r="I257" t="s">
        <v>30</v>
      </c>
      <c r="J257">
        <v>80205</v>
      </c>
      <c r="K257" t="s">
        <v>30</v>
      </c>
      <c r="L257" s="3" t="s">
        <v>23</v>
      </c>
      <c r="M257" cm="1">
        <f t="array" ref="M257">_xlfn.IFS(L256="A", 4, L256="B", 3, L256="C", 2, L256="D", 1)</f>
        <v>1</v>
      </c>
    </row>
    <row r="258" spans="1:13" hidden="1" x14ac:dyDescent="0.2">
      <c r="A258">
        <v>2023</v>
      </c>
      <c r="B258">
        <v>80205</v>
      </c>
      <c r="C258" t="s">
        <v>13</v>
      </c>
      <c r="D258" t="s">
        <v>81</v>
      </c>
      <c r="E258" t="s">
        <v>15</v>
      </c>
      <c r="F258" t="s">
        <v>16</v>
      </c>
      <c r="G258">
        <v>4.3</v>
      </c>
      <c r="H258" s="1">
        <v>34967</v>
      </c>
      <c r="I258" t="s">
        <v>27</v>
      </c>
      <c r="J258">
        <v>80205</v>
      </c>
      <c r="K258" t="s">
        <v>27</v>
      </c>
      <c r="L258" s="3" t="s">
        <v>21</v>
      </c>
      <c r="M258" cm="1">
        <f t="array" ref="M258">_xlfn.IFS(L257="A", 4, L257="B", 3, L257="C", 2, L257="D", 1)</f>
        <v>1</v>
      </c>
    </row>
    <row r="259" spans="1:13" hidden="1" x14ac:dyDescent="0.2">
      <c r="A259">
        <v>2023</v>
      </c>
      <c r="B259">
        <v>80205</v>
      </c>
      <c r="C259" t="s">
        <v>13</v>
      </c>
      <c r="D259" t="s">
        <v>81</v>
      </c>
      <c r="E259" t="s">
        <v>15</v>
      </c>
      <c r="F259" t="s">
        <v>16</v>
      </c>
      <c r="G259">
        <v>4.3</v>
      </c>
      <c r="H259" s="1">
        <v>34967</v>
      </c>
      <c r="I259" t="s">
        <v>28</v>
      </c>
      <c r="J259">
        <v>80205</v>
      </c>
      <c r="K259" t="s">
        <v>28</v>
      </c>
      <c r="L259" s="3" t="s">
        <v>23</v>
      </c>
      <c r="M259" cm="1">
        <f t="array" ref="M259">_xlfn.IFS(L258="A", 4, L258="B", 3, L258="C", 2, L258="D", 1)</f>
        <v>2</v>
      </c>
    </row>
    <row r="260" spans="1:13" hidden="1" x14ac:dyDescent="0.2">
      <c r="A260">
        <v>2023</v>
      </c>
      <c r="B260">
        <v>80205</v>
      </c>
      <c r="C260" t="s">
        <v>13</v>
      </c>
      <c r="D260" t="s">
        <v>81</v>
      </c>
      <c r="E260" t="s">
        <v>15</v>
      </c>
      <c r="F260" t="s">
        <v>16</v>
      </c>
      <c r="G260">
        <v>4.3</v>
      </c>
      <c r="H260" s="1">
        <v>34967</v>
      </c>
      <c r="I260" t="s">
        <v>29</v>
      </c>
      <c r="J260">
        <v>80205</v>
      </c>
      <c r="K260" t="s">
        <v>29</v>
      </c>
      <c r="L260" s="3" t="s">
        <v>23</v>
      </c>
      <c r="M260" cm="1">
        <f t="array" ref="M260">_xlfn.IFS(L259="A", 4, L259="B", 3, L259="C", 2, L259="D", 1)</f>
        <v>1</v>
      </c>
    </row>
    <row r="261" spans="1:13" hidden="1" x14ac:dyDescent="0.2">
      <c r="A261">
        <v>2023</v>
      </c>
      <c r="B261">
        <v>80205</v>
      </c>
      <c r="C261" t="s">
        <v>13</v>
      </c>
      <c r="D261" t="s">
        <v>81</v>
      </c>
      <c r="E261" t="s">
        <v>15</v>
      </c>
      <c r="F261" t="s">
        <v>16</v>
      </c>
      <c r="G261">
        <v>4.3</v>
      </c>
      <c r="H261" s="1">
        <v>34967</v>
      </c>
      <c r="I261" t="s">
        <v>30</v>
      </c>
      <c r="J261">
        <v>80205</v>
      </c>
      <c r="K261" t="s">
        <v>30</v>
      </c>
      <c r="L261" s="3" t="s">
        <v>23</v>
      </c>
      <c r="M261" cm="1">
        <f t="array" ref="M261">_xlfn.IFS(L260="A", 4, L260="B", 3, L260="C", 2, L260="D", 1)</f>
        <v>1</v>
      </c>
    </row>
    <row r="262" spans="1:13" hidden="1" x14ac:dyDescent="0.2">
      <c r="A262">
        <v>2023</v>
      </c>
      <c r="B262">
        <v>80205</v>
      </c>
      <c r="C262" t="s">
        <v>13</v>
      </c>
      <c r="D262" t="s">
        <v>81</v>
      </c>
      <c r="E262" t="s">
        <v>15</v>
      </c>
      <c r="F262" t="s">
        <v>16</v>
      </c>
      <c r="G262">
        <v>4.3</v>
      </c>
      <c r="H262" s="1">
        <v>34967</v>
      </c>
      <c r="I262" t="s">
        <v>30</v>
      </c>
      <c r="J262">
        <v>80205</v>
      </c>
      <c r="K262" t="s">
        <v>30</v>
      </c>
      <c r="L262" s="3" t="s">
        <v>23</v>
      </c>
      <c r="M262" cm="1">
        <f t="array" ref="M262">_xlfn.IFS(L261="A", 4, L261="B", 3, L261="C", 2, L261="D", 1)</f>
        <v>1</v>
      </c>
    </row>
    <row r="263" spans="1:13" hidden="1" x14ac:dyDescent="0.2">
      <c r="A263">
        <v>2023</v>
      </c>
      <c r="B263">
        <v>80205</v>
      </c>
      <c r="C263" t="s">
        <v>13</v>
      </c>
      <c r="D263" t="s">
        <v>82</v>
      </c>
      <c r="E263" t="s">
        <v>15</v>
      </c>
      <c r="F263" t="s">
        <v>16</v>
      </c>
      <c r="G263">
        <v>10.7</v>
      </c>
      <c r="H263" s="1">
        <v>34967</v>
      </c>
      <c r="I263" t="s">
        <v>27</v>
      </c>
      <c r="J263">
        <v>80205</v>
      </c>
      <c r="K263" t="s">
        <v>27</v>
      </c>
      <c r="L263" s="3" t="s">
        <v>21</v>
      </c>
      <c r="M263" cm="1">
        <f t="array" ref="M263">_xlfn.IFS(L262="A", 4, L262="B", 3, L262="C", 2, L262="D", 1)</f>
        <v>1</v>
      </c>
    </row>
    <row r="264" spans="1:13" hidden="1" x14ac:dyDescent="0.2">
      <c r="A264">
        <v>2023</v>
      </c>
      <c r="B264">
        <v>80205</v>
      </c>
      <c r="C264" t="s">
        <v>13</v>
      </c>
      <c r="D264" t="s">
        <v>82</v>
      </c>
      <c r="E264" t="s">
        <v>15</v>
      </c>
      <c r="F264" t="s">
        <v>16</v>
      </c>
      <c r="G264">
        <v>10.7</v>
      </c>
      <c r="H264" s="1">
        <v>34967</v>
      </c>
      <c r="I264" t="s">
        <v>28</v>
      </c>
      <c r="J264">
        <v>80205</v>
      </c>
      <c r="K264" t="s">
        <v>28</v>
      </c>
      <c r="L264" s="3" t="s">
        <v>23</v>
      </c>
      <c r="M264" cm="1">
        <f t="array" ref="M264">_xlfn.IFS(L263="A", 4, L263="B", 3, L263="C", 2, L263="D", 1)</f>
        <v>2</v>
      </c>
    </row>
    <row r="265" spans="1:13" hidden="1" x14ac:dyDescent="0.2">
      <c r="A265">
        <v>2023</v>
      </c>
      <c r="B265">
        <v>80205</v>
      </c>
      <c r="C265" t="s">
        <v>13</v>
      </c>
      <c r="D265" t="s">
        <v>82</v>
      </c>
      <c r="E265" t="s">
        <v>15</v>
      </c>
      <c r="F265" t="s">
        <v>16</v>
      </c>
      <c r="G265">
        <v>10.7</v>
      </c>
      <c r="H265" s="1">
        <v>34967</v>
      </c>
      <c r="I265" t="s">
        <v>29</v>
      </c>
      <c r="J265">
        <v>80205</v>
      </c>
      <c r="K265" t="s">
        <v>29</v>
      </c>
      <c r="L265" s="3" t="s">
        <v>23</v>
      </c>
      <c r="M265" cm="1">
        <f t="array" ref="M265">_xlfn.IFS(L264="A", 4, L264="B", 3, L264="C", 2, L264="D", 1)</f>
        <v>1</v>
      </c>
    </row>
    <row r="266" spans="1:13" hidden="1" x14ac:dyDescent="0.2">
      <c r="A266">
        <v>2023</v>
      </c>
      <c r="B266">
        <v>80205</v>
      </c>
      <c r="C266" t="s">
        <v>13</v>
      </c>
      <c r="D266" t="s">
        <v>82</v>
      </c>
      <c r="E266" t="s">
        <v>15</v>
      </c>
      <c r="F266" t="s">
        <v>16</v>
      </c>
      <c r="G266">
        <v>10.7</v>
      </c>
      <c r="H266" s="1">
        <v>34967</v>
      </c>
      <c r="I266" t="s">
        <v>30</v>
      </c>
      <c r="J266">
        <v>80205</v>
      </c>
      <c r="K266" t="s">
        <v>30</v>
      </c>
      <c r="L266" s="3" t="s">
        <v>23</v>
      </c>
      <c r="M266" cm="1">
        <f t="array" ref="M266">_xlfn.IFS(L265="A", 4, L265="B", 3, L265="C", 2, L265="D", 1)</f>
        <v>1</v>
      </c>
    </row>
    <row r="267" spans="1:13" hidden="1" x14ac:dyDescent="0.2">
      <c r="A267">
        <v>2023</v>
      </c>
      <c r="B267">
        <v>80205</v>
      </c>
      <c r="C267" t="s">
        <v>13</v>
      </c>
      <c r="D267" t="s">
        <v>82</v>
      </c>
      <c r="E267" t="s">
        <v>15</v>
      </c>
      <c r="F267" t="s">
        <v>16</v>
      </c>
      <c r="G267">
        <v>10.7</v>
      </c>
      <c r="H267" s="1">
        <v>34967</v>
      </c>
      <c r="I267" t="s">
        <v>30</v>
      </c>
      <c r="J267">
        <v>80205</v>
      </c>
      <c r="K267" t="s">
        <v>30</v>
      </c>
      <c r="L267" s="3" t="s">
        <v>23</v>
      </c>
      <c r="M267" cm="1">
        <f t="array" ref="M267">_xlfn.IFS(L266="A", 4, L266="B", 3, L266="C", 2, L266="D", 1)</f>
        <v>1</v>
      </c>
    </row>
    <row r="268" spans="1:13" hidden="1" x14ac:dyDescent="0.2">
      <c r="A268">
        <v>2023</v>
      </c>
      <c r="B268">
        <v>80205</v>
      </c>
      <c r="C268" t="s">
        <v>13</v>
      </c>
      <c r="D268" t="s">
        <v>83</v>
      </c>
      <c r="E268" t="s">
        <v>15</v>
      </c>
      <c r="F268" t="s">
        <v>16</v>
      </c>
      <c r="G268">
        <v>3.4</v>
      </c>
      <c r="H268" s="1">
        <v>34967</v>
      </c>
      <c r="I268" t="s">
        <v>27</v>
      </c>
      <c r="J268">
        <v>80205</v>
      </c>
      <c r="K268" t="s">
        <v>27</v>
      </c>
      <c r="L268" s="3" t="s">
        <v>21</v>
      </c>
      <c r="M268" cm="1">
        <f t="array" ref="M268">_xlfn.IFS(L267="A", 4, L267="B", 3, L267="C", 2, L267="D", 1)</f>
        <v>1</v>
      </c>
    </row>
    <row r="269" spans="1:13" hidden="1" x14ac:dyDescent="0.2">
      <c r="A269">
        <v>2023</v>
      </c>
      <c r="B269">
        <v>80205</v>
      </c>
      <c r="C269" t="s">
        <v>13</v>
      </c>
      <c r="D269" t="s">
        <v>83</v>
      </c>
      <c r="E269" t="s">
        <v>15</v>
      </c>
      <c r="F269" t="s">
        <v>16</v>
      </c>
      <c r="G269">
        <v>3.4</v>
      </c>
      <c r="H269" s="1">
        <v>34967</v>
      </c>
      <c r="I269" t="s">
        <v>28</v>
      </c>
      <c r="J269">
        <v>80205</v>
      </c>
      <c r="K269" t="s">
        <v>28</v>
      </c>
      <c r="L269" s="3" t="s">
        <v>23</v>
      </c>
      <c r="M269" cm="1">
        <f t="array" ref="M269">_xlfn.IFS(L268="A", 4, L268="B", 3, L268="C", 2, L268="D", 1)</f>
        <v>2</v>
      </c>
    </row>
    <row r="270" spans="1:13" hidden="1" x14ac:dyDescent="0.2">
      <c r="A270">
        <v>2023</v>
      </c>
      <c r="B270">
        <v>80205</v>
      </c>
      <c r="C270" t="s">
        <v>13</v>
      </c>
      <c r="D270" t="s">
        <v>83</v>
      </c>
      <c r="E270" t="s">
        <v>15</v>
      </c>
      <c r="F270" t="s">
        <v>16</v>
      </c>
      <c r="G270">
        <v>3.4</v>
      </c>
      <c r="H270" s="1">
        <v>34967</v>
      </c>
      <c r="I270" t="s">
        <v>29</v>
      </c>
      <c r="J270">
        <v>80205</v>
      </c>
      <c r="K270" t="s">
        <v>29</v>
      </c>
      <c r="L270" s="3" t="s">
        <v>23</v>
      </c>
      <c r="M270" cm="1">
        <f t="array" ref="M270">_xlfn.IFS(L269="A", 4, L269="B", 3, L269="C", 2, L269="D", 1)</f>
        <v>1</v>
      </c>
    </row>
    <row r="271" spans="1:13" hidden="1" x14ac:dyDescent="0.2">
      <c r="A271">
        <v>2023</v>
      </c>
      <c r="B271">
        <v>80205</v>
      </c>
      <c r="C271" t="s">
        <v>13</v>
      </c>
      <c r="D271" t="s">
        <v>83</v>
      </c>
      <c r="E271" t="s">
        <v>15</v>
      </c>
      <c r="F271" t="s">
        <v>16</v>
      </c>
      <c r="G271">
        <v>3.4</v>
      </c>
      <c r="H271" s="1">
        <v>34967</v>
      </c>
      <c r="I271" t="s">
        <v>30</v>
      </c>
      <c r="J271">
        <v>80205</v>
      </c>
      <c r="K271" t="s">
        <v>30</v>
      </c>
      <c r="L271" s="3" t="s">
        <v>23</v>
      </c>
      <c r="M271" cm="1">
        <f t="array" ref="M271">_xlfn.IFS(L270="A", 4, L270="B", 3, L270="C", 2, L270="D", 1)</f>
        <v>1</v>
      </c>
    </row>
    <row r="272" spans="1:13" hidden="1" x14ac:dyDescent="0.2">
      <c r="A272">
        <v>2023</v>
      </c>
      <c r="B272">
        <v>80205</v>
      </c>
      <c r="C272" t="s">
        <v>13</v>
      </c>
      <c r="D272" t="s">
        <v>83</v>
      </c>
      <c r="E272" t="s">
        <v>15</v>
      </c>
      <c r="F272" t="s">
        <v>16</v>
      </c>
      <c r="G272">
        <v>3.4</v>
      </c>
      <c r="H272" s="1">
        <v>34967</v>
      </c>
      <c r="I272" t="s">
        <v>30</v>
      </c>
      <c r="J272">
        <v>80205</v>
      </c>
      <c r="K272" t="s">
        <v>30</v>
      </c>
      <c r="L272" s="3" t="s">
        <v>23</v>
      </c>
      <c r="M272" cm="1">
        <f t="array" ref="M272">_xlfn.IFS(L271="A", 4, L271="B", 3, L271="C", 2, L271="D", 1)</f>
        <v>1</v>
      </c>
    </row>
    <row r="273" spans="1:13" x14ac:dyDescent="0.2">
      <c r="A273">
        <v>2023</v>
      </c>
      <c r="B273">
        <v>80205</v>
      </c>
      <c r="C273" t="s">
        <v>74</v>
      </c>
      <c r="D273" t="s">
        <v>84</v>
      </c>
      <c r="E273" t="s">
        <v>15</v>
      </c>
      <c r="F273" t="s">
        <v>16</v>
      </c>
      <c r="G273">
        <v>67.599999999999994</v>
      </c>
      <c r="H273" s="1">
        <v>34967</v>
      </c>
      <c r="I273" t="s">
        <v>27</v>
      </c>
      <c r="J273">
        <v>80205</v>
      </c>
      <c r="K273" t="s">
        <v>27</v>
      </c>
      <c r="L273" s="3" t="s">
        <v>21</v>
      </c>
      <c r="M273" cm="1">
        <f t="array" ref="M273">_xlfn.IFS(L272="A", 4, L272="B", 3, L272="C", 2, L272="D", 1)</f>
        <v>1</v>
      </c>
    </row>
    <row r="274" spans="1:13" x14ac:dyDescent="0.2">
      <c r="A274">
        <v>2023</v>
      </c>
      <c r="B274">
        <v>80205</v>
      </c>
      <c r="C274" t="s">
        <v>74</v>
      </c>
      <c r="D274" t="s">
        <v>84</v>
      </c>
      <c r="E274" t="s">
        <v>15</v>
      </c>
      <c r="F274" t="s">
        <v>16</v>
      </c>
      <c r="G274">
        <v>67.599999999999994</v>
      </c>
      <c r="H274" s="1">
        <v>34967</v>
      </c>
      <c r="I274" t="s">
        <v>28</v>
      </c>
      <c r="J274">
        <v>80205</v>
      </c>
      <c r="K274" t="s">
        <v>28</v>
      </c>
      <c r="L274" s="3" t="s">
        <v>23</v>
      </c>
      <c r="M274" cm="1">
        <f t="array" ref="M274">_xlfn.IFS(L273="A", 4, L273="B", 3, L273="C", 2, L273="D", 1)</f>
        <v>2</v>
      </c>
    </row>
    <row r="275" spans="1:13" x14ac:dyDescent="0.2">
      <c r="A275">
        <v>2023</v>
      </c>
      <c r="B275">
        <v>80205</v>
      </c>
      <c r="C275" t="s">
        <v>74</v>
      </c>
      <c r="D275" t="s">
        <v>84</v>
      </c>
      <c r="E275" t="s">
        <v>15</v>
      </c>
      <c r="F275" t="s">
        <v>16</v>
      </c>
      <c r="G275">
        <v>67.599999999999994</v>
      </c>
      <c r="H275" s="1">
        <v>34967</v>
      </c>
      <c r="I275" t="s">
        <v>29</v>
      </c>
      <c r="J275">
        <v>80205</v>
      </c>
      <c r="K275" t="s">
        <v>29</v>
      </c>
      <c r="L275" s="3" t="s">
        <v>23</v>
      </c>
      <c r="M275" cm="1">
        <f t="array" ref="M275">_xlfn.IFS(L274="A", 4, L274="B", 3, L274="C", 2, L274="D", 1)</f>
        <v>1</v>
      </c>
    </row>
    <row r="276" spans="1:13" x14ac:dyDescent="0.2">
      <c r="A276">
        <v>2023</v>
      </c>
      <c r="B276">
        <v>80205</v>
      </c>
      <c r="C276" t="s">
        <v>74</v>
      </c>
      <c r="D276" t="s">
        <v>84</v>
      </c>
      <c r="E276" t="s">
        <v>15</v>
      </c>
      <c r="F276" t="s">
        <v>16</v>
      </c>
      <c r="G276">
        <v>67.599999999999994</v>
      </c>
      <c r="H276" s="1">
        <v>34967</v>
      </c>
      <c r="I276" t="s">
        <v>30</v>
      </c>
      <c r="J276">
        <v>80205</v>
      </c>
      <c r="K276" t="s">
        <v>30</v>
      </c>
      <c r="L276" s="3" t="s">
        <v>23</v>
      </c>
      <c r="M276" cm="1">
        <f t="array" ref="M276">_xlfn.IFS(L275="A", 4, L275="B", 3, L275="C", 2, L275="D", 1)</f>
        <v>1</v>
      </c>
    </row>
    <row r="277" spans="1:13" x14ac:dyDescent="0.2">
      <c r="A277">
        <v>2023</v>
      </c>
      <c r="B277">
        <v>80205</v>
      </c>
      <c r="C277" t="s">
        <v>74</v>
      </c>
      <c r="D277" t="s">
        <v>84</v>
      </c>
      <c r="E277" t="s">
        <v>15</v>
      </c>
      <c r="F277" t="s">
        <v>16</v>
      </c>
      <c r="G277">
        <v>67.599999999999994</v>
      </c>
      <c r="H277" s="1">
        <v>34967</v>
      </c>
      <c r="I277" t="s">
        <v>30</v>
      </c>
      <c r="J277">
        <v>80205</v>
      </c>
      <c r="K277" t="s">
        <v>30</v>
      </c>
      <c r="L277" s="3" t="s">
        <v>23</v>
      </c>
      <c r="M277" cm="1">
        <f t="array" ref="M277">_xlfn.IFS(L276="A", 4, L276="B", 3, L276="C", 2, L276="D", 1)</f>
        <v>1</v>
      </c>
    </row>
    <row r="278" spans="1:13" hidden="1" x14ac:dyDescent="0.2">
      <c r="A278">
        <v>2023</v>
      </c>
      <c r="B278">
        <v>80205</v>
      </c>
      <c r="C278" t="s">
        <v>74</v>
      </c>
      <c r="D278" t="s">
        <v>85</v>
      </c>
      <c r="E278" t="s">
        <v>15</v>
      </c>
      <c r="F278" t="s">
        <v>16</v>
      </c>
      <c r="G278">
        <v>81.5</v>
      </c>
      <c r="H278" s="1">
        <v>34967</v>
      </c>
      <c r="I278" t="s">
        <v>27</v>
      </c>
      <c r="J278">
        <v>80205</v>
      </c>
      <c r="K278" t="s">
        <v>27</v>
      </c>
      <c r="L278" s="3" t="s">
        <v>21</v>
      </c>
      <c r="M278" cm="1">
        <f t="array" ref="M278">_xlfn.IFS(L277="A", 4, L277="B", 3, L277="C", 2, L277="D", 1)</f>
        <v>1</v>
      </c>
    </row>
    <row r="279" spans="1:13" hidden="1" x14ac:dyDescent="0.2">
      <c r="A279">
        <v>2023</v>
      </c>
      <c r="B279">
        <v>80205</v>
      </c>
      <c r="C279" t="s">
        <v>74</v>
      </c>
      <c r="D279" t="s">
        <v>85</v>
      </c>
      <c r="E279" t="s">
        <v>15</v>
      </c>
      <c r="F279" t="s">
        <v>16</v>
      </c>
      <c r="G279">
        <v>81.5</v>
      </c>
      <c r="H279" s="1">
        <v>34967</v>
      </c>
      <c r="I279" t="s">
        <v>28</v>
      </c>
      <c r="J279">
        <v>80205</v>
      </c>
      <c r="K279" t="s">
        <v>28</v>
      </c>
      <c r="L279" s="3" t="s">
        <v>23</v>
      </c>
      <c r="M279" cm="1">
        <f t="array" ref="M279">_xlfn.IFS(L278="A", 4, L278="B", 3, L278="C", 2, L278="D", 1)</f>
        <v>2</v>
      </c>
    </row>
    <row r="280" spans="1:13" hidden="1" x14ac:dyDescent="0.2">
      <c r="A280">
        <v>2023</v>
      </c>
      <c r="B280">
        <v>80205</v>
      </c>
      <c r="C280" t="s">
        <v>74</v>
      </c>
      <c r="D280" t="s">
        <v>85</v>
      </c>
      <c r="E280" t="s">
        <v>15</v>
      </c>
      <c r="F280" t="s">
        <v>16</v>
      </c>
      <c r="G280">
        <v>81.5</v>
      </c>
      <c r="H280" s="1">
        <v>34967</v>
      </c>
      <c r="I280" t="s">
        <v>29</v>
      </c>
      <c r="J280">
        <v>80205</v>
      </c>
      <c r="K280" t="s">
        <v>29</v>
      </c>
      <c r="L280" s="3" t="s">
        <v>23</v>
      </c>
      <c r="M280" cm="1">
        <f t="array" ref="M280">_xlfn.IFS(L279="A", 4, L279="B", 3, L279="C", 2, L279="D", 1)</f>
        <v>1</v>
      </c>
    </row>
    <row r="281" spans="1:13" hidden="1" x14ac:dyDescent="0.2">
      <c r="A281">
        <v>2023</v>
      </c>
      <c r="B281">
        <v>80205</v>
      </c>
      <c r="C281" t="s">
        <v>74</v>
      </c>
      <c r="D281" t="s">
        <v>85</v>
      </c>
      <c r="E281" t="s">
        <v>15</v>
      </c>
      <c r="F281" t="s">
        <v>16</v>
      </c>
      <c r="G281">
        <v>81.5</v>
      </c>
      <c r="H281" s="1">
        <v>34967</v>
      </c>
      <c r="I281" t="s">
        <v>30</v>
      </c>
      <c r="J281">
        <v>80205</v>
      </c>
      <c r="K281" t="s">
        <v>30</v>
      </c>
      <c r="L281" s="3" t="s">
        <v>23</v>
      </c>
      <c r="M281" cm="1">
        <f t="array" ref="M281">_xlfn.IFS(L280="A", 4, L280="B", 3, L280="C", 2, L280="D", 1)</f>
        <v>1</v>
      </c>
    </row>
    <row r="282" spans="1:13" hidden="1" x14ac:dyDescent="0.2">
      <c r="A282">
        <v>2023</v>
      </c>
      <c r="B282">
        <v>80205</v>
      </c>
      <c r="C282" t="s">
        <v>74</v>
      </c>
      <c r="D282" t="s">
        <v>85</v>
      </c>
      <c r="E282" t="s">
        <v>15</v>
      </c>
      <c r="F282" t="s">
        <v>16</v>
      </c>
      <c r="G282">
        <v>81.5</v>
      </c>
      <c r="H282" s="1">
        <v>34967</v>
      </c>
      <c r="I282" t="s">
        <v>30</v>
      </c>
      <c r="J282">
        <v>80205</v>
      </c>
      <c r="K282" t="s">
        <v>30</v>
      </c>
      <c r="L282" s="3" t="s">
        <v>23</v>
      </c>
      <c r="M282" cm="1">
        <f t="array" ref="M282">_xlfn.IFS(L281="A", 4, L281="B", 3, L281="C", 2, L281="D", 1)</f>
        <v>1</v>
      </c>
    </row>
    <row r="283" spans="1:13" hidden="1" x14ac:dyDescent="0.2">
      <c r="A283">
        <v>2023</v>
      </c>
      <c r="B283">
        <v>80205</v>
      </c>
      <c r="C283" t="s">
        <v>86</v>
      </c>
      <c r="D283" t="s">
        <v>87</v>
      </c>
      <c r="E283" t="s">
        <v>15</v>
      </c>
      <c r="F283" t="s">
        <v>16</v>
      </c>
      <c r="G283">
        <v>14.6</v>
      </c>
      <c r="H283" s="1">
        <v>34967</v>
      </c>
      <c r="I283" t="s">
        <v>27</v>
      </c>
      <c r="J283">
        <v>80205</v>
      </c>
      <c r="K283" t="s">
        <v>27</v>
      </c>
      <c r="L283" s="3" t="s">
        <v>21</v>
      </c>
      <c r="M283" cm="1">
        <f t="array" ref="M283">_xlfn.IFS(L282="A", 4, L282="B", 3, L282="C", 2, L282="D", 1)</f>
        <v>1</v>
      </c>
    </row>
    <row r="284" spans="1:13" hidden="1" x14ac:dyDescent="0.2">
      <c r="A284">
        <v>2023</v>
      </c>
      <c r="B284">
        <v>80205</v>
      </c>
      <c r="C284" t="s">
        <v>86</v>
      </c>
      <c r="D284" t="s">
        <v>87</v>
      </c>
      <c r="E284" t="s">
        <v>15</v>
      </c>
      <c r="F284" t="s">
        <v>16</v>
      </c>
      <c r="G284">
        <v>14.6</v>
      </c>
      <c r="H284" s="1">
        <v>34967</v>
      </c>
      <c r="I284" t="s">
        <v>28</v>
      </c>
      <c r="J284">
        <v>80205</v>
      </c>
      <c r="K284" t="s">
        <v>28</v>
      </c>
      <c r="L284" s="3" t="s">
        <v>23</v>
      </c>
      <c r="M284" cm="1">
        <f t="array" ref="M284">_xlfn.IFS(L283="A", 4, L283="B", 3, L283="C", 2, L283="D", 1)</f>
        <v>2</v>
      </c>
    </row>
    <row r="285" spans="1:13" hidden="1" x14ac:dyDescent="0.2">
      <c r="A285">
        <v>2023</v>
      </c>
      <c r="B285">
        <v>80205</v>
      </c>
      <c r="C285" t="s">
        <v>86</v>
      </c>
      <c r="D285" t="s">
        <v>87</v>
      </c>
      <c r="E285" t="s">
        <v>15</v>
      </c>
      <c r="F285" t="s">
        <v>16</v>
      </c>
      <c r="G285">
        <v>14.6</v>
      </c>
      <c r="H285" s="1">
        <v>34967</v>
      </c>
      <c r="I285" t="s">
        <v>29</v>
      </c>
      <c r="J285">
        <v>80205</v>
      </c>
      <c r="K285" t="s">
        <v>29</v>
      </c>
      <c r="L285" s="3" t="s">
        <v>23</v>
      </c>
      <c r="M285" cm="1">
        <f t="array" ref="M285">_xlfn.IFS(L284="A", 4, L284="B", 3, L284="C", 2, L284="D", 1)</f>
        <v>1</v>
      </c>
    </row>
    <row r="286" spans="1:13" hidden="1" x14ac:dyDescent="0.2">
      <c r="A286">
        <v>2023</v>
      </c>
      <c r="B286">
        <v>80205</v>
      </c>
      <c r="C286" t="s">
        <v>86</v>
      </c>
      <c r="D286" t="s">
        <v>87</v>
      </c>
      <c r="E286" t="s">
        <v>15</v>
      </c>
      <c r="F286" t="s">
        <v>16</v>
      </c>
      <c r="G286">
        <v>14.6</v>
      </c>
      <c r="H286" s="1">
        <v>34967</v>
      </c>
      <c r="I286" t="s">
        <v>30</v>
      </c>
      <c r="J286">
        <v>80205</v>
      </c>
      <c r="K286" t="s">
        <v>30</v>
      </c>
      <c r="L286" s="3" t="s">
        <v>23</v>
      </c>
      <c r="M286" cm="1">
        <f t="array" ref="M286">_xlfn.IFS(L285="A", 4, L285="B", 3, L285="C", 2, L285="D", 1)</f>
        <v>1</v>
      </c>
    </row>
    <row r="287" spans="1:13" hidden="1" x14ac:dyDescent="0.2">
      <c r="A287">
        <v>2023</v>
      </c>
      <c r="B287">
        <v>80205</v>
      </c>
      <c r="C287" t="s">
        <v>86</v>
      </c>
      <c r="D287" t="s">
        <v>87</v>
      </c>
      <c r="E287" t="s">
        <v>15</v>
      </c>
      <c r="F287" t="s">
        <v>16</v>
      </c>
      <c r="G287">
        <v>14.6</v>
      </c>
      <c r="H287" s="1">
        <v>34967</v>
      </c>
      <c r="I287" t="s">
        <v>30</v>
      </c>
      <c r="J287">
        <v>80205</v>
      </c>
      <c r="K287" t="s">
        <v>30</v>
      </c>
      <c r="L287" s="3" t="s">
        <v>23</v>
      </c>
      <c r="M287" cm="1">
        <f t="array" ref="M287">_xlfn.IFS(L286="A", 4, L286="B", 3, L286="C", 2, L286="D", 1)</f>
        <v>1</v>
      </c>
    </row>
    <row r="288" spans="1:13" hidden="1" x14ac:dyDescent="0.2">
      <c r="A288">
        <v>2022</v>
      </c>
      <c r="B288">
        <v>80205</v>
      </c>
      <c r="C288" t="s">
        <v>74</v>
      </c>
      <c r="D288" t="s">
        <v>88</v>
      </c>
      <c r="E288" t="s">
        <v>15</v>
      </c>
      <c r="F288" t="s">
        <v>16</v>
      </c>
      <c r="G288">
        <v>58.5</v>
      </c>
      <c r="H288" s="1">
        <v>34967</v>
      </c>
      <c r="I288" t="s">
        <v>27</v>
      </c>
      <c r="J288">
        <v>80205</v>
      </c>
      <c r="K288" t="s">
        <v>27</v>
      </c>
      <c r="L288" s="3" t="s">
        <v>21</v>
      </c>
      <c r="M288" cm="1">
        <f t="array" ref="M288">_xlfn.IFS(L287="A", 4, L287="B", 3, L287="C", 2, L287="D", 1)</f>
        <v>1</v>
      </c>
    </row>
    <row r="289" spans="1:13" hidden="1" x14ac:dyDescent="0.2">
      <c r="A289">
        <v>2022</v>
      </c>
      <c r="B289">
        <v>80205</v>
      </c>
      <c r="C289" t="s">
        <v>74</v>
      </c>
      <c r="D289" t="s">
        <v>88</v>
      </c>
      <c r="E289" t="s">
        <v>15</v>
      </c>
      <c r="F289" t="s">
        <v>16</v>
      </c>
      <c r="G289">
        <v>58.5</v>
      </c>
      <c r="H289" s="1">
        <v>34967</v>
      </c>
      <c r="I289" t="s">
        <v>28</v>
      </c>
      <c r="J289">
        <v>80205</v>
      </c>
      <c r="K289" t="s">
        <v>28</v>
      </c>
      <c r="L289" s="3" t="s">
        <v>23</v>
      </c>
      <c r="M289" cm="1">
        <f t="array" ref="M289">_xlfn.IFS(L288="A", 4, L288="B", 3, L288="C", 2, L288="D", 1)</f>
        <v>2</v>
      </c>
    </row>
    <row r="290" spans="1:13" hidden="1" x14ac:dyDescent="0.2">
      <c r="A290">
        <v>2022</v>
      </c>
      <c r="B290">
        <v>80205</v>
      </c>
      <c r="C290" t="s">
        <v>74</v>
      </c>
      <c r="D290" t="s">
        <v>88</v>
      </c>
      <c r="E290" t="s">
        <v>15</v>
      </c>
      <c r="F290" t="s">
        <v>16</v>
      </c>
      <c r="G290">
        <v>58.5</v>
      </c>
      <c r="H290" s="1">
        <v>34967</v>
      </c>
      <c r="I290" t="s">
        <v>29</v>
      </c>
      <c r="J290">
        <v>80205</v>
      </c>
      <c r="K290" t="s">
        <v>29</v>
      </c>
      <c r="L290" s="3" t="s">
        <v>23</v>
      </c>
      <c r="M290" cm="1">
        <f t="array" ref="M290">_xlfn.IFS(L289="A", 4, L289="B", 3, L289="C", 2, L289="D", 1)</f>
        <v>1</v>
      </c>
    </row>
    <row r="291" spans="1:13" hidden="1" x14ac:dyDescent="0.2">
      <c r="A291">
        <v>2022</v>
      </c>
      <c r="B291">
        <v>80205</v>
      </c>
      <c r="C291" t="s">
        <v>74</v>
      </c>
      <c r="D291" t="s">
        <v>88</v>
      </c>
      <c r="E291" t="s">
        <v>15</v>
      </c>
      <c r="F291" t="s">
        <v>16</v>
      </c>
      <c r="G291">
        <v>58.5</v>
      </c>
      <c r="H291" s="1">
        <v>34967</v>
      </c>
      <c r="I291" t="s">
        <v>30</v>
      </c>
      <c r="J291">
        <v>80205</v>
      </c>
      <c r="K291" t="s">
        <v>30</v>
      </c>
      <c r="L291" s="3" t="s">
        <v>23</v>
      </c>
      <c r="M291" cm="1">
        <f t="array" ref="M291">_xlfn.IFS(L290="A", 4, L290="B", 3, L290="C", 2, L290="D", 1)</f>
        <v>1</v>
      </c>
    </row>
    <row r="292" spans="1:13" hidden="1" x14ac:dyDescent="0.2">
      <c r="A292">
        <v>2022</v>
      </c>
      <c r="B292">
        <v>80205</v>
      </c>
      <c r="C292" t="s">
        <v>74</v>
      </c>
      <c r="D292" t="s">
        <v>88</v>
      </c>
      <c r="E292" t="s">
        <v>15</v>
      </c>
      <c r="F292" t="s">
        <v>16</v>
      </c>
      <c r="G292">
        <v>58.5</v>
      </c>
      <c r="H292" s="1">
        <v>34967</v>
      </c>
      <c r="I292" t="s">
        <v>30</v>
      </c>
      <c r="J292">
        <v>80205</v>
      </c>
      <c r="K292" t="s">
        <v>30</v>
      </c>
      <c r="L292" s="3" t="s">
        <v>23</v>
      </c>
      <c r="M292" cm="1">
        <f t="array" ref="M292">_xlfn.IFS(L291="A", 4, L291="B", 3, L291="C", 2, L291="D", 1)</f>
        <v>1</v>
      </c>
    </row>
    <row r="293" spans="1:13" hidden="1" x14ac:dyDescent="0.2">
      <c r="A293">
        <v>2023</v>
      </c>
      <c r="B293">
        <v>80205</v>
      </c>
      <c r="C293" t="s">
        <v>13</v>
      </c>
      <c r="D293" t="s">
        <v>89</v>
      </c>
      <c r="E293" t="s">
        <v>15</v>
      </c>
      <c r="F293" t="s">
        <v>16</v>
      </c>
      <c r="G293">
        <v>3.8</v>
      </c>
      <c r="H293" s="1">
        <v>34967</v>
      </c>
      <c r="I293" t="s">
        <v>27</v>
      </c>
      <c r="J293">
        <v>80205</v>
      </c>
      <c r="K293" t="s">
        <v>27</v>
      </c>
      <c r="L293" s="3" t="s">
        <v>21</v>
      </c>
      <c r="M293" cm="1">
        <f t="array" ref="M293">_xlfn.IFS(L292="A", 4, L292="B", 3, L292="C", 2, L292="D", 1)</f>
        <v>1</v>
      </c>
    </row>
    <row r="294" spans="1:13" hidden="1" x14ac:dyDescent="0.2">
      <c r="A294">
        <v>2023</v>
      </c>
      <c r="B294">
        <v>80205</v>
      </c>
      <c r="C294" t="s">
        <v>13</v>
      </c>
      <c r="D294" t="s">
        <v>89</v>
      </c>
      <c r="E294" t="s">
        <v>15</v>
      </c>
      <c r="F294" t="s">
        <v>16</v>
      </c>
      <c r="G294">
        <v>3.8</v>
      </c>
      <c r="H294" s="1">
        <v>34967</v>
      </c>
      <c r="I294" t="s">
        <v>28</v>
      </c>
      <c r="J294">
        <v>80205</v>
      </c>
      <c r="K294" t="s">
        <v>28</v>
      </c>
      <c r="L294" s="3" t="s">
        <v>23</v>
      </c>
      <c r="M294" cm="1">
        <f t="array" ref="M294">_xlfn.IFS(L293="A", 4, L293="B", 3, L293="C", 2, L293="D", 1)</f>
        <v>2</v>
      </c>
    </row>
    <row r="295" spans="1:13" hidden="1" x14ac:dyDescent="0.2">
      <c r="A295">
        <v>2023</v>
      </c>
      <c r="B295">
        <v>80205</v>
      </c>
      <c r="C295" t="s">
        <v>13</v>
      </c>
      <c r="D295" t="s">
        <v>89</v>
      </c>
      <c r="E295" t="s">
        <v>15</v>
      </c>
      <c r="F295" t="s">
        <v>16</v>
      </c>
      <c r="G295">
        <v>3.8</v>
      </c>
      <c r="H295" s="1">
        <v>34967</v>
      </c>
      <c r="I295" t="s">
        <v>29</v>
      </c>
      <c r="J295">
        <v>80205</v>
      </c>
      <c r="K295" t="s">
        <v>29</v>
      </c>
      <c r="L295" s="3" t="s">
        <v>23</v>
      </c>
      <c r="M295" cm="1">
        <f t="array" ref="M295">_xlfn.IFS(L294="A", 4, L294="B", 3, L294="C", 2, L294="D", 1)</f>
        <v>1</v>
      </c>
    </row>
    <row r="296" spans="1:13" hidden="1" x14ac:dyDescent="0.2">
      <c r="A296">
        <v>2023</v>
      </c>
      <c r="B296">
        <v>80205</v>
      </c>
      <c r="C296" t="s">
        <v>13</v>
      </c>
      <c r="D296" t="s">
        <v>89</v>
      </c>
      <c r="E296" t="s">
        <v>15</v>
      </c>
      <c r="F296" t="s">
        <v>16</v>
      </c>
      <c r="G296">
        <v>3.8</v>
      </c>
      <c r="H296" s="1">
        <v>34967</v>
      </c>
      <c r="I296" t="s">
        <v>30</v>
      </c>
      <c r="J296">
        <v>80205</v>
      </c>
      <c r="K296" t="s">
        <v>30</v>
      </c>
      <c r="L296" s="3" t="s">
        <v>23</v>
      </c>
      <c r="M296" cm="1">
        <f t="array" ref="M296">_xlfn.IFS(L295="A", 4, L295="B", 3, L295="C", 2, L295="D", 1)</f>
        <v>1</v>
      </c>
    </row>
    <row r="297" spans="1:13" hidden="1" x14ac:dyDescent="0.2">
      <c r="A297">
        <v>2023</v>
      </c>
      <c r="B297">
        <v>80205</v>
      </c>
      <c r="C297" t="s">
        <v>13</v>
      </c>
      <c r="D297" t="s">
        <v>89</v>
      </c>
      <c r="E297" t="s">
        <v>15</v>
      </c>
      <c r="F297" t="s">
        <v>16</v>
      </c>
      <c r="G297">
        <v>3.8</v>
      </c>
      <c r="H297" s="1">
        <v>34967</v>
      </c>
      <c r="I297" t="s">
        <v>30</v>
      </c>
      <c r="J297">
        <v>80205</v>
      </c>
      <c r="K297" t="s">
        <v>30</v>
      </c>
      <c r="L297" s="3" t="s">
        <v>23</v>
      </c>
      <c r="M297" cm="1">
        <f t="array" ref="M297">_xlfn.IFS(L296="A", 4, L296="B", 3, L296="C", 2, L296="D", 1)</f>
        <v>1</v>
      </c>
    </row>
    <row r="298" spans="1:13" hidden="1" x14ac:dyDescent="0.2">
      <c r="A298">
        <v>2023</v>
      </c>
      <c r="B298">
        <v>80205</v>
      </c>
      <c r="C298" t="s">
        <v>77</v>
      </c>
      <c r="D298" t="s">
        <v>90</v>
      </c>
      <c r="E298" t="s">
        <v>15</v>
      </c>
      <c r="F298" t="s">
        <v>16</v>
      </c>
      <c r="G298">
        <v>11</v>
      </c>
      <c r="H298" s="1">
        <v>34967</v>
      </c>
      <c r="I298" t="s">
        <v>27</v>
      </c>
      <c r="J298">
        <v>80205</v>
      </c>
      <c r="K298" t="s">
        <v>27</v>
      </c>
      <c r="L298" s="3" t="s">
        <v>21</v>
      </c>
      <c r="M298" cm="1">
        <f t="array" ref="M298">_xlfn.IFS(L297="A", 4, L297="B", 3, L297="C", 2, L297="D", 1)</f>
        <v>1</v>
      </c>
    </row>
    <row r="299" spans="1:13" hidden="1" x14ac:dyDescent="0.2">
      <c r="A299">
        <v>2023</v>
      </c>
      <c r="B299">
        <v>80205</v>
      </c>
      <c r="C299" t="s">
        <v>77</v>
      </c>
      <c r="D299" t="s">
        <v>90</v>
      </c>
      <c r="E299" t="s">
        <v>15</v>
      </c>
      <c r="F299" t="s">
        <v>16</v>
      </c>
      <c r="G299">
        <v>11</v>
      </c>
      <c r="H299" s="1">
        <v>34967</v>
      </c>
      <c r="I299" t="s">
        <v>28</v>
      </c>
      <c r="J299">
        <v>80205</v>
      </c>
      <c r="K299" t="s">
        <v>28</v>
      </c>
      <c r="L299" s="3" t="s">
        <v>23</v>
      </c>
      <c r="M299" cm="1">
        <f t="array" ref="M299">_xlfn.IFS(L298="A", 4, L298="B", 3, L298="C", 2, L298="D", 1)</f>
        <v>2</v>
      </c>
    </row>
    <row r="300" spans="1:13" hidden="1" x14ac:dyDescent="0.2">
      <c r="A300">
        <v>2023</v>
      </c>
      <c r="B300">
        <v>80205</v>
      </c>
      <c r="C300" t="s">
        <v>77</v>
      </c>
      <c r="D300" t="s">
        <v>90</v>
      </c>
      <c r="E300" t="s">
        <v>15</v>
      </c>
      <c r="F300" t="s">
        <v>16</v>
      </c>
      <c r="G300">
        <v>11</v>
      </c>
      <c r="H300" s="1">
        <v>34967</v>
      </c>
      <c r="I300" t="s">
        <v>29</v>
      </c>
      <c r="J300">
        <v>80205</v>
      </c>
      <c r="K300" t="s">
        <v>29</v>
      </c>
      <c r="L300" s="3" t="s">
        <v>23</v>
      </c>
      <c r="M300" cm="1">
        <f t="array" ref="M300">_xlfn.IFS(L299="A", 4, L299="B", 3, L299="C", 2, L299="D", 1)</f>
        <v>1</v>
      </c>
    </row>
    <row r="301" spans="1:13" hidden="1" x14ac:dyDescent="0.2">
      <c r="A301">
        <v>2023</v>
      </c>
      <c r="B301">
        <v>80205</v>
      </c>
      <c r="C301" t="s">
        <v>77</v>
      </c>
      <c r="D301" t="s">
        <v>90</v>
      </c>
      <c r="E301" t="s">
        <v>15</v>
      </c>
      <c r="F301" t="s">
        <v>16</v>
      </c>
      <c r="G301">
        <v>11</v>
      </c>
      <c r="H301" s="1">
        <v>34967</v>
      </c>
      <c r="I301" t="s">
        <v>30</v>
      </c>
      <c r="J301">
        <v>80205</v>
      </c>
      <c r="K301" t="s">
        <v>30</v>
      </c>
      <c r="L301" s="3" t="s">
        <v>23</v>
      </c>
      <c r="M301" cm="1">
        <f t="array" ref="M301">_xlfn.IFS(L300="A", 4, L300="B", 3, L300="C", 2, L300="D", 1)</f>
        <v>1</v>
      </c>
    </row>
    <row r="302" spans="1:13" hidden="1" x14ac:dyDescent="0.2">
      <c r="A302">
        <v>2023</v>
      </c>
      <c r="B302">
        <v>80205</v>
      </c>
      <c r="C302" t="s">
        <v>77</v>
      </c>
      <c r="D302" t="s">
        <v>90</v>
      </c>
      <c r="E302" t="s">
        <v>15</v>
      </c>
      <c r="F302" t="s">
        <v>16</v>
      </c>
      <c r="G302">
        <v>11</v>
      </c>
      <c r="H302" s="1">
        <v>34967</v>
      </c>
      <c r="I302" t="s">
        <v>30</v>
      </c>
      <c r="J302">
        <v>80205</v>
      </c>
      <c r="K302" t="s">
        <v>30</v>
      </c>
      <c r="L302" s="3" t="s">
        <v>23</v>
      </c>
      <c r="M302" cm="1">
        <f t="array" ref="M302">_xlfn.IFS(L301="A", 4, L301="B", 3, L301="C", 2, L301="D", 1)</f>
        <v>1</v>
      </c>
    </row>
    <row r="303" spans="1:13" hidden="1" x14ac:dyDescent="0.2">
      <c r="A303">
        <v>2022</v>
      </c>
      <c r="B303">
        <v>80205</v>
      </c>
      <c r="C303" t="s">
        <v>74</v>
      </c>
      <c r="D303" t="s">
        <v>91</v>
      </c>
      <c r="E303" t="s">
        <v>15</v>
      </c>
      <c r="F303" t="s">
        <v>16</v>
      </c>
      <c r="G303">
        <v>61.4</v>
      </c>
      <c r="H303" s="1">
        <v>34967</v>
      </c>
      <c r="I303" t="s">
        <v>27</v>
      </c>
      <c r="J303">
        <v>80205</v>
      </c>
      <c r="K303" t="s">
        <v>27</v>
      </c>
      <c r="L303" s="3" t="s">
        <v>21</v>
      </c>
      <c r="M303" cm="1">
        <f t="array" ref="M303">_xlfn.IFS(L302="A", 4, L302="B", 3, L302="C", 2, L302="D", 1)</f>
        <v>1</v>
      </c>
    </row>
    <row r="304" spans="1:13" hidden="1" x14ac:dyDescent="0.2">
      <c r="A304">
        <v>2022</v>
      </c>
      <c r="B304">
        <v>80205</v>
      </c>
      <c r="C304" t="s">
        <v>74</v>
      </c>
      <c r="D304" t="s">
        <v>91</v>
      </c>
      <c r="E304" t="s">
        <v>15</v>
      </c>
      <c r="F304" t="s">
        <v>16</v>
      </c>
      <c r="G304">
        <v>61.4</v>
      </c>
      <c r="H304" s="1">
        <v>34967</v>
      </c>
      <c r="I304" t="s">
        <v>28</v>
      </c>
      <c r="J304">
        <v>80205</v>
      </c>
      <c r="K304" t="s">
        <v>28</v>
      </c>
      <c r="L304" s="3" t="s">
        <v>23</v>
      </c>
      <c r="M304" cm="1">
        <f t="array" ref="M304">_xlfn.IFS(L303="A", 4, L303="B", 3, L303="C", 2, L303="D", 1)</f>
        <v>2</v>
      </c>
    </row>
    <row r="305" spans="1:13" hidden="1" x14ac:dyDescent="0.2">
      <c r="A305">
        <v>2022</v>
      </c>
      <c r="B305">
        <v>80205</v>
      </c>
      <c r="C305" t="s">
        <v>74</v>
      </c>
      <c r="D305" t="s">
        <v>91</v>
      </c>
      <c r="E305" t="s">
        <v>15</v>
      </c>
      <c r="F305" t="s">
        <v>16</v>
      </c>
      <c r="G305">
        <v>61.4</v>
      </c>
      <c r="H305" s="1">
        <v>34967</v>
      </c>
      <c r="I305" t="s">
        <v>29</v>
      </c>
      <c r="J305">
        <v>80205</v>
      </c>
      <c r="K305" t="s">
        <v>29</v>
      </c>
      <c r="L305" s="3" t="s">
        <v>23</v>
      </c>
      <c r="M305" cm="1">
        <f t="array" ref="M305">_xlfn.IFS(L304="A", 4, L304="B", 3, L304="C", 2, L304="D", 1)</f>
        <v>1</v>
      </c>
    </row>
    <row r="306" spans="1:13" hidden="1" x14ac:dyDescent="0.2">
      <c r="A306">
        <v>2022</v>
      </c>
      <c r="B306">
        <v>80205</v>
      </c>
      <c r="C306" t="s">
        <v>74</v>
      </c>
      <c r="D306" t="s">
        <v>91</v>
      </c>
      <c r="E306" t="s">
        <v>15</v>
      </c>
      <c r="F306" t="s">
        <v>16</v>
      </c>
      <c r="G306">
        <v>61.4</v>
      </c>
      <c r="H306" s="1">
        <v>34967</v>
      </c>
      <c r="I306" t="s">
        <v>30</v>
      </c>
      <c r="J306">
        <v>80205</v>
      </c>
      <c r="K306" t="s">
        <v>30</v>
      </c>
      <c r="L306" s="3" t="s">
        <v>23</v>
      </c>
      <c r="M306" cm="1">
        <f t="array" ref="M306">_xlfn.IFS(L305="A", 4, L305="B", 3, L305="C", 2, L305="D", 1)</f>
        <v>1</v>
      </c>
    </row>
    <row r="307" spans="1:13" hidden="1" x14ac:dyDescent="0.2">
      <c r="A307">
        <v>2022</v>
      </c>
      <c r="B307">
        <v>80205</v>
      </c>
      <c r="C307" t="s">
        <v>74</v>
      </c>
      <c r="D307" t="s">
        <v>91</v>
      </c>
      <c r="E307" t="s">
        <v>15</v>
      </c>
      <c r="F307" t="s">
        <v>16</v>
      </c>
      <c r="G307">
        <v>61.4</v>
      </c>
      <c r="H307" s="1">
        <v>34967</v>
      </c>
      <c r="I307" t="s">
        <v>30</v>
      </c>
      <c r="J307">
        <v>80205</v>
      </c>
      <c r="K307" t="s">
        <v>30</v>
      </c>
      <c r="L307" s="3" t="s">
        <v>23</v>
      </c>
      <c r="M307" cm="1">
        <f t="array" ref="M307">_xlfn.IFS(L306="A", 4, L306="B", 3, L306="C", 2, L306="D", 1)</f>
        <v>1</v>
      </c>
    </row>
    <row r="308" spans="1:13" hidden="1" x14ac:dyDescent="0.2">
      <c r="A308">
        <v>2023</v>
      </c>
      <c r="B308">
        <v>80205</v>
      </c>
      <c r="C308" t="s">
        <v>13</v>
      </c>
      <c r="D308" t="s">
        <v>92</v>
      </c>
      <c r="E308" t="s">
        <v>15</v>
      </c>
      <c r="F308" t="s">
        <v>16</v>
      </c>
      <c r="G308">
        <v>24.1</v>
      </c>
      <c r="H308" s="1">
        <v>34967</v>
      </c>
      <c r="I308" t="s">
        <v>27</v>
      </c>
      <c r="J308">
        <v>80205</v>
      </c>
      <c r="K308" t="s">
        <v>27</v>
      </c>
      <c r="L308" s="3" t="s">
        <v>21</v>
      </c>
      <c r="M308" cm="1">
        <f t="array" ref="M308">_xlfn.IFS(L307="A", 4, L307="B", 3, L307="C", 2, L307="D", 1)</f>
        <v>1</v>
      </c>
    </row>
    <row r="309" spans="1:13" hidden="1" x14ac:dyDescent="0.2">
      <c r="A309">
        <v>2023</v>
      </c>
      <c r="B309">
        <v>80205</v>
      </c>
      <c r="C309" t="s">
        <v>13</v>
      </c>
      <c r="D309" t="s">
        <v>92</v>
      </c>
      <c r="E309" t="s">
        <v>15</v>
      </c>
      <c r="F309" t="s">
        <v>16</v>
      </c>
      <c r="G309">
        <v>24.1</v>
      </c>
      <c r="H309" s="1">
        <v>34967</v>
      </c>
      <c r="I309" t="s">
        <v>28</v>
      </c>
      <c r="J309">
        <v>80205</v>
      </c>
      <c r="K309" t="s">
        <v>28</v>
      </c>
      <c r="L309" s="3" t="s">
        <v>23</v>
      </c>
      <c r="M309" cm="1">
        <f t="array" ref="M309">_xlfn.IFS(L308="A", 4, L308="B", 3, L308="C", 2, L308="D", 1)</f>
        <v>2</v>
      </c>
    </row>
    <row r="310" spans="1:13" hidden="1" x14ac:dyDescent="0.2">
      <c r="A310">
        <v>2023</v>
      </c>
      <c r="B310">
        <v>80205</v>
      </c>
      <c r="C310" t="s">
        <v>13</v>
      </c>
      <c r="D310" t="s">
        <v>92</v>
      </c>
      <c r="E310" t="s">
        <v>15</v>
      </c>
      <c r="F310" t="s">
        <v>16</v>
      </c>
      <c r="G310">
        <v>24.1</v>
      </c>
      <c r="H310" s="1">
        <v>34967</v>
      </c>
      <c r="I310" t="s">
        <v>29</v>
      </c>
      <c r="J310">
        <v>80205</v>
      </c>
      <c r="K310" t="s">
        <v>29</v>
      </c>
      <c r="L310" s="3" t="s">
        <v>23</v>
      </c>
      <c r="M310" cm="1">
        <f t="array" ref="M310">_xlfn.IFS(L309="A", 4, L309="B", 3, L309="C", 2, L309="D", 1)</f>
        <v>1</v>
      </c>
    </row>
    <row r="311" spans="1:13" hidden="1" x14ac:dyDescent="0.2">
      <c r="A311">
        <v>2023</v>
      </c>
      <c r="B311">
        <v>80205</v>
      </c>
      <c r="C311" t="s">
        <v>13</v>
      </c>
      <c r="D311" t="s">
        <v>92</v>
      </c>
      <c r="E311" t="s">
        <v>15</v>
      </c>
      <c r="F311" t="s">
        <v>16</v>
      </c>
      <c r="G311">
        <v>24.1</v>
      </c>
      <c r="H311" s="1">
        <v>34967</v>
      </c>
      <c r="I311" t="s">
        <v>30</v>
      </c>
      <c r="J311">
        <v>80205</v>
      </c>
      <c r="K311" t="s">
        <v>30</v>
      </c>
      <c r="L311" s="3" t="s">
        <v>23</v>
      </c>
      <c r="M311" cm="1">
        <f t="array" ref="M311">_xlfn.IFS(L310="A", 4, L310="B", 3, L310="C", 2, L310="D", 1)</f>
        <v>1</v>
      </c>
    </row>
    <row r="312" spans="1:13" hidden="1" x14ac:dyDescent="0.2">
      <c r="A312">
        <v>2023</v>
      </c>
      <c r="B312">
        <v>80205</v>
      </c>
      <c r="C312" t="s">
        <v>13</v>
      </c>
      <c r="D312" t="s">
        <v>92</v>
      </c>
      <c r="E312" t="s">
        <v>15</v>
      </c>
      <c r="F312" t="s">
        <v>16</v>
      </c>
      <c r="G312">
        <v>24.1</v>
      </c>
      <c r="H312" s="1">
        <v>34967</v>
      </c>
      <c r="I312" t="s">
        <v>30</v>
      </c>
      <c r="J312">
        <v>80205</v>
      </c>
      <c r="K312" t="s">
        <v>30</v>
      </c>
      <c r="L312" s="3" t="s">
        <v>23</v>
      </c>
      <c r="M312" cm="1">
        <f t="array" ref="M312">_xlfn.IFS(L311="A", 4, L311="B", 3, L311="C", 2, L311="D", 1)</f>
        <v>1</v>
      </c>
    </row>
    <row r="313" spans="1:13" hidden="1" x14ac:dyDescent="0.2">
      <c r="A313">
        <v>2023</v>
      </c>
      <c r="B313">
        <v>80205</v>
      </c>
      <c r="C313" t="s">
        <v>13</v>
      </c>
      <c r="D313" t="s">
        <v>14</v>
      </c>
      <c r="E313" t="s">
        <v>15</v>
      </c>
      <c r="F313" t="s">
        <v>16</v>
      </c>
      <c r="G313">
        <v>6.7</v>
      </c>
      <c r="H313" s="1">
        <v>34967</v>
      </c>
      <c r="I313" t="s">
        <v>27</v>
      </c>
      <c r="J313">
        <v>80205</v>
      </c>
      <c r="K313" t="s">
        <v>27</v>
      </c>
      <c r="L313" s="3" t="s">
        <v>21</v>
      </c>
      <c r="M313" cm="1">
        <f t="array" ref="M313">_xlfn.IFS(L312="A", 4, L312="B", 3, L312="C", 2, L312="D", 1)</f>
        <v>1</v>
      </c>
    </row>
    <row r="314" spans="1:13" hidden="1" x14ac:dyDescent="0.2">
      <c r="A314">
        <v>2023</v>
      </c>
      <c r="B314">
        <v>80205</v>
      </c>
      <c r="C314" t="s">
        <v>13</v>
      </c>
      <c r="D314" t="s">
        <v>14</v>
      </c>
      <c r="E314" t="s">
        <v>15</v>
      </c>
      <c r="F314" t="s">
        <v>16</v>
      </c>
      <c r="G314">
        <v>6.7</v>
      </c>
      <c r="H314" s="1">
        <v>34967</v>
      </c>
      <c r="I314" t="s">
        <v>28</v>
      </c>
      <c r="J314">
        <v>80205</v>
      </c>
      <c r="K314" t="s">
        <v>28</v>
      </c>
      <c r="L314" s="3" t="s">
        <v>23</v>
      </c>
      <c r="M314" cm="1">
        <f t="array" ref="M314">_xlfn.IFS(L313="A", 4, L313="B", 3, L313="C", 2, L313="D", 1)</f>
        <v>2</v>
      </c>
    </row>
    <row r="315" spans="1:13" hidden="1" x14ac:dyDescent="0.2">
      <c r="A315">
        <v>2023</v>
      </c>
      <c r="B315">
        <v>80205</v>
      </c>
      <c r="C315" t="s">
        <v>13</v>
      </c>
      <c r="D315" t="s">
        <v>14</v>
      </c>
      <c r="E315" t="s">
        <v>15</v>
      </c>
      <c r="F315" t="s">
        <v>16</v>
      </c>
      <c r="G315">
        <v>6.7</v>
      </c>
      <c r="H315" s="1">
        <v>34967</v>
      </c>
      <c r="I315" t="s">
        <v>29</v>
      </c>
      <c r="J315">
        <v>80205</v>
      </c>
      <c r="K315" t="s">
        <v>29</v>
      </c>
      <c r="L315" s="3" t="s">
        <v>23</v>
      </c>
      <c r="M315" cm="1">
        <f t="array" ref="M315">_xlfn.IFS(L314="A", 4, L314="B", 3, L314="C", 2, L314="D", 1)</f>
        <v>1</v>
      </c>
    </row>
    <row r="316" spans="1:13" hidden="1" x14ac:dyDescent="0.2">
      <c r="A316">
        <v>2023</v>
      </c>
      <c r="B316">
        <v>80205</v>
      </c>
      <c r="C316" t="s">
        <v>13</v>
      </c>
      <c r="D316" t="s">
        <v>14</v>
      </c>
      <c r="E316" t="s">
        <v>15</v>
      </c>
      <c r="F316" t="s">
        <v>16</v>
      </c>
      <c r="G316">
        <v>6.7</v>
      </c>
      <c r="H316" s="1">
        <v>34967</v>
      </c>
      <c r="I316" t="s">
        <v>30</v>
      </c>
      <c r="J316">
        <v>80205</v>
      </c>
      <c r="K316" t="s">
        <v>30</v>
      </c>
      <c r="L316" s="3" t="s">
        <v>23</v>
      </c>
      <c r="M316" cm="1">
        <f t="array" ref="M316">_xlfn.IFS(L315="A", 4, L315="B", 3, L315="C", 2, L315="D", 1)</f>
        <v>1</v>
      </c>
    </row>
    <row r="317" spans="1:13" hidden="1" x14ac:dyDescent="0.2">
      <c r="A317">
        <v>2023</v>
      </c>
      <c r="B317">
        <v>80205</v>
      </c>
      <c r="C317" t="s">
        <v>13</v>
      </c>
      <c r="D317" t="s">
        <v>14</v>
      </c>
      <c r="E317" t="s">
        <v>15</v>
      </c>
      <c r="F317" t="s">
        <v>16</v>
      </c>
      <c r="G317">
        <v>6.7</v>
      </c>
      <c r="H317" s="1">
        <v>34967</v>
      </c>
      <c r="I317" t="s">
        <v>30</v>
      </c>
      <c r="J317">
        <v>80205</v>
      </c>
      <c r="K317" t="s">
        <v>30</v>
      </c>
      <c r="L317" s="3" t="s">
        <v>23</v>
      </c>
      <c r="M317" cm="1">
        <f t="array" ref="M317">_xlfn.IFS(L316="A", 4, L316="B", 3, L316="C", 2, L316="D", 1)</f>
        <v>1</v>
      </c>
    </row>
    <row r="318" spans="1:13" hidden="1" x14ac:dyDescent="0.2">
      <c r="A318">
        <v>2023</v>
      </c>
      <c r="B318">
        <v>80205</v>
      </c>
      <c r="C318" t="s">
        <v>86</v>
      </c>
      <c r="D318" t="s">
        <v>93</v>
      </c>
      <c r="E318" t="s">
        <v>15</v>
      </c>
      <c r="F318" t="s">
        <v>16</v>
      </c>
      <c r="G318">
        <v>24.8</v>
      </c>
      <c r="H318" s="1">
        <v>34967</v>
      </c>
      <c r="I318" t="s">
        <v>27</v>
      </c>
      <c r="J318">
        <v>80205</v>
      </c>
      <c r="K318" t="s">
        <v>27</v>
      </c>
      <c r="L318" s="3" t="s">
        <v>21</v>
      </c>
      <c r="M318" cm="1">
        <f t="array" ref="M318">_xlfn.IFS(L317="A", 4, L317="B", 3, L317="C", 2, L317="D", 1)</f>
        <v>1</v>
      </c>
    </row>
    <row r="319" spans="1:13" hidden="1" x14ac:dyDescent="0.2">
      <c r="A319">
        <v>2023</v>
      </c>
      <c r="B319">
        <v>80205</v>
      </c>
      <c r="C319" t="s">
        <v>86</v>
      </c>
      <c r="D319" t="s">
        <v>93</v>
      </c>
      <c r="E319" t="s">
        <v>15</v>
      </c>
      <c r="F319" t="s">
        <v>16</v>
      </c>
      <c r="G319">
        <v>24.8</v>
      </c>
      <c r="H319" s="1">
        <v>34967</v>
      </c>
      <c r="I319" t="s">
        <v>28</v>
      </c>
      <c r="J319">
        <v>80205</v>
      </c>
      <c r="K319" t="s">
        <v>28</v>
      </c>
      <c r="L319" s="3" t="s">
        <v>23</v>
      </c>
      <c r="M319" cm="1">
        <f t="array" ref="M319">_xlfn.IFS(L318="A", 4, L318="B", 3, L318="C", 2, L318="D", 1)</f>
        <v>2</v>
      </c>
    </row>
    <row r="320" spans="1:13" hidden="1" x14ac:dyDescent="0.2">
      <c r="A320">
        <v>2023</v>
      </c>
      <c r="B320">
        <v>80205</v>
      </c>
      <c r="C320" t="s">
        <v>86</v>
      </c>
      <c r="D320" t="s">
        <v>93</v>
      </c>
      <c r="E320" t="s">
        <v>15</v>
      </c>
      <c r="F320" t="s">
        <v>16</v>
      </c>
      <c r="G320">
        <v>24.8</v>
      </c>
      <c r="H320" s="1">
        <v>34967</v>
      </c>
      <c r="I320" t="s">
        <v>29</v>
      </c>
      <c r="J320">
        <v>80205</v>
      </c>
      <c r="K320" t="s">
        <v>29</v>
      </c>
      <c r="L320" s="3" t="s">
        <v>23</v>
      </c>
      <c r="M320" cm="1">
        <f t="array" ref="M320">_xlfn.IFS(L319="A", 4, L319="B", 3, L319="C", 2, L319="D", 1)</f>
        <v>1</v>
      </c>
    </row>
    <row r="321" spans="1:13" hidden="1" x14ac:dyDescent="0.2">
      <c r="A321">
        <v>2023</v>
      </c>
      <c r="B321">
        <v>80205</v>
      </c>
      <c r="C321" t="s">
        <v>86</v>
      </c>
      <c r="D321" t="s">
        <v>93</v>
      </c>
      <c r="E321" t="s">
        <v>15</v>
      </c>
      <c r="F321" t="s">
        <v>16</v>
      </c>
      <c r="G321">
        <v>24.8</v>
      </c>
      <c r="H321" s="1">
        <v>34967</v>
      </c>
      <c r="I321" t="s">
        <v>30</v>
      </c>
      <c r="J321">
        <v>80205</v>
      </c>
      <c r="K321" t="s">
        <v>30</v>
      </c>
      <c r="L321" s="3" t="s">
        <v>23</v>
      </c>
      <c r="M321" cm="1">
        <f t="array" ref="M321">_xlfn.IFS(L320="A", 4, L320="B", 3, L320="C", 2, L320="D", 1)</f>
        <v>1</v>
      </c>
    </row>
    <row r="322" spans="1:13" hidden="1" x14ac:dyDescent="0.2">
      <c r="A322">
        <v>2023</v>
      </c>
      <c r="B322">
        <v>80205</v>
      </c>
      <c r="C322" t="s">
        <v>86</v>
      </c>
      <c r="D322" t="s">
        <v>93</v>
      </c>
      <c r="E322" t="s">
        <v>15</v>
      </c>
      <c r="F322" t="s">
        <v>16</v>
      </c>
      <c r="G322">
        <v>24.8</v>
      </c>
      <c r="H322" s="1">
        <v>34967</v>
      </c>
      <c r="I322" t="s">
        <v>30</v>
      </c>
      <c r="J322">
        <v>80205</v>
      </c>
      <c r="K322" t="s">
        <v>30</v>
      </c>
      <c r="L322" s="3" t="s">
        <v>23</v>
      </c>
      <c r="M322" cm="1">
        <f t="array" ref="M322">_xlfn.IFS(L321="A", 4, L321="B", 3, L321="C", 2, L321="D", 1)</f>
        <v>1</v>
      </c>
    </row>
    <row r="323" spans="1:13" hidden="1" x14ac:dyDescent="0.2">
      <c r="A323">
        <v>2023</v>
      </c>
      <c r="B323">
        <v>80205</v>
      </c>
      <c r="C323" t="s">
        <v>94</v>
      </c>
      <c r="D323" t="s">
        <v>95</v>
      </c>
      <c r="E323" t="s">
        <v>15</v>
      </c>
      <c r="F323" t="s">
        <v>16</v>
      </c>
      <c r="G323">
        <v>14.5</v>
      </c>
      <c r="H323" s="1">
        <v>34967</v>
      </c>
      <c r="I323" t="s">
        <v>27</v>
      </c>
      <c r="J323">
        <v>80205</v>
      </c>
      <c r="K323" t="s">
        <v>27</v>
      </c>
      <c r="L323" s="3" t="s">
        <v>21</v>
      </c>
      <c r="M323" cm="1">
        <f t="array" ref="M323">_xlfn.IFS(L322="A", 4, L322="B", 3, L322="C", 2, L322="D", 1)</f>
        <v>1</v>
      </c>
    </row>
    <row r="324" spans="1:13" hidden="1" x14ac:dyDescent="0.2">
      <c r="A324">
        <v>2023</v>
      </c>
      <c r="B324">
        <v>80205</v>
      </c>
      <c r="C324" t="s">
        <v>94</v>
      </c>
      <c r="D324" t="s">
        <v>95</v>
      </c>
      <c r="E324" t="s">
        <v>15</v>
      </c>
      <c r="F324" t="s">
        <v>16</v>
      </c>
      <c r="G324">
        <v>14.5</v>
      </c>
      <c r="H324" s="1">
        <v>34967</v>
      </c>
      <c r="I324" t="s">
        <v>28</v>
      </c>
      <c r="J324">
        <v>80205</v>
      </c>
      <c r="K324" t="s">
        <v>28</v>
      </c>
      <c r="L324" s="3" t="s">
        <v>23</v>
      </c>
      <c r="M324" cm="1">
        <f t="array" ref="M324">_xlfn.IFS(L323="A", 4, L323="B", 3, L323="C", 2, L323="D", 1)</f>
        <v>2</v>
      </c>
    </row>
    <row r="325" spans="1:13" hidden="1" x14ac:dyDescent="0.2">
      <c r="A325">
        <v>2023</v>
      </c>
      <c r="B325">
        <v>80205</v>
      </c>
      <c r="C325" t="s">
        <v>94</v>
      </c>
      <c r="D325" t="s">
        <v>95</v>
      </c>
      <c r="E325" t="s">
        <v>15</v>
      </c>
      <c r="F325" t="s">
        <v>16</v>
      </c>
      <c r="G325">
        <v>14.5</v>
      </c>
      <c r="H325" s="1">
        <v>34967</v>
      </c>
      <c r="I325" t="s">
        <v>29</v>
      </c>
      <c r="J325">
        <v>80205</v>
      </c>
      <c r="K325" t="s">
        <v>29</v>
      </c>
      <c r="L325" s="3" t="s">
        <v>23</v>
      </c>
      <c r="M325" cm="1">
        <f t="array" ref="M325">_xlfn.IFS(L324="A", 4, L324="B", 3, L324="C", 2, L324="D", 1)</f>
        <v>1</v>
      </c>
    </row>
    <row r="326" spans="1:13" hidden="1" x14ac:dyDescent="0.2">
      <c r="A326">
        <v>2023</v>
      </c>
      <c r="B326">
        <v>80205</v>
      </c>
      <c r="C326" t="s">
        <v>94</v>
      </c>
      <c r="D326" t="s">
        <v>95</v>
      </c>
      <c r="E326" t="s">
        <v>15</v>
      </c>
      <c r="F326" t="s">
        <v>16</v>
      </c>
      <c r="G326">
        <v>14.5</v>
      </c>
      <c r="H326" s="1">
        <v>34967</v>
      </c>
      <c r="I326" t="s">
        <v>30</v>
      </c>
      <c r="J326">
        <v>80205</v>
      </c>
      <c r="K326" t="s">
        <v>30</v>
      </c>
      <c r="L326" s="3" t="s">
        <v>23</v>
      </c>
      <c r="M326" cm="1">
        <f t="array" ref="M326">_xlfn.IFS(L325="A", 4, L325="B", 3, L325="C", 2, L325="D", 1)</f>
        <v>1</v>
      </c>
    </row>
    <row r="327" spans="1:13" hidden="1" x14ac:dyDescent="0.2">
      <c r="A327">
        <v>2023</v>
      </c>
      <c r="B327">
        <v>80205</v>
      </c>
      <c r="C327" t="s">
        <v>94</v>
      </c>
      <c r="D327" t="s">
        <v>95</v>
      </c>
      <c r="E327" t="s">
        <v>15</v>
      </c>
      <c r="F327" t="s">
        <v>16</v>
      </c>
      <c r="G327">
        <v>14.5</v>
      </c>
      <c r="H327" s="1">
        <v>34967</v>
      </c>
      <c r="I327" t="s">
        <v>30</v>
      </c>
      <c r="J327">
        <v>80205</v>
      </c>
      <c r="K327" t="s">
        <v>30</v>
      </c>
      <c r="L327" s="3" t="s">
        <v>23</v>
      </c>
      <c r="M327" cm="1">
        <f t="array" ref="M327">_xlfn.IFS(L326="A", 4, L326="B", 3, L326="C", 2, L326="D", 1)</f>
        <v>1</v>
      </c>
    </row>
    <row r="328" spans="1:13" hidden="1" x14ac:dyDescent="0.2">
      <c r="A328">
        <v>2023</v>
      </c>
      <c r="B328">
        <v>80205</v>
      </c>
      <c r="C328" t="s">
        <v>86</v>
      </c>
      <c r="D328" t="s">
        <v>96</v>
      </c>
      <c r="E328" t="s">
        <v>15</v>
      </c>
      <c r="F328" t="s">
        <v>16</v>
      </c>
      <c r="G328">
        <v>4.4000000000000004</v>
      </c>
      <c r="H328" s="1">
        <v>34967</v>
      </c>
      <c r="I328" t="s">
        <v>27</v>
      </c>
      <c r="J328">
        <v>80205</v>
      </c>
      <c r="K328" t="s">
        <v>27</v>
      </c>
      <c r="L328" s="3" t="s">
        <v>21</v>
      </c>
      <c r="M328" cm="1">
        <f t="array" ref="M328">_xlfn.IFS(L327="A", 4, L327="B", 3, L327="C", 2, L327="D", 1)</f>
        <v>1</v>
      </c>
    </row>
    <row r="329" spans="1:13" hidden="1" x14ac:dyDescent="0.2">
      <c r="A329">
        <v>2023</v>
      </c>
      <c r="B329">
        <v>80205</v>
      </c>
      <c r="C329" t="s">
        <v>86</v>
      </c>
      <c r="D329" t="s">
        <v>96</v>
      </c>
      <c r="E329" t="s">
        <v>15</v>
      </c>
      <c r="F329" t="s">
        <v>16</v>
      </c>
      <c r="G329">
        <v>4.4000000000000004</v>
      </c>
      <c r="H329" s="1">
        <v>34967</v>
      </c>
      <c r="I329" t="s">
        <v>28</v>
      </c>
      <c r="J329">
        <v>80205</v>
      </c>
      <c r="K329" t="s">
        <v>28</v>
      </c>
      <c r="L329" s="3" t="s">
        <v>23</v>
      </c>
      <c r="M329" cm="1">
        <f t="array" ref="M329">_xlfn.IFS(L328="A", 4, L328="B", 3, L328="C", 2, L328="D", 1)</f>
        <v>2</v>
      </c>
    </row>
    <row r="330" spans="1:13" hidden="1" x14ac:dyDescent="0.2">
      <c r="A330">
        <v>2023</v>
      </c>
      <c r="B330">
        <v>80205</v>
      </c>
      <c r="C330" t="s">
        <v>86</v>
      </c>
      <c r="D330" t="s">
        <v>96</v>
      </c>
      <c r="E330" t="s">
        <v>15</v>
      </c>
      <c r="F330" t="s">
        <v>16</v>
      </c>
      <c r="G330">
        <v>4.4000000000000004</v>
      </c>
      <c r="H330" s="1">
        <v>34967</v>
      </c>
      <c r="I330" t="s">
        <v>29</v>
      </c>
      <c r="J330">
        <v>80205</v>
      </c>
      <c r="K330" t="s">
        <v>29</v>
      </c>
      <c r="L330" s="3" t="s">
        <v>23</v>
      </c>
      <c r="M330" cm="1">
        <f t="array" ref="M330">_xlfn.IFS(L329="A", 4, L329="B", 3, L329="C", 2, L329="D", 1)</f>
        <v>1</v>
      </c>
    </row>
    <row r="331" spans="1:13" hidden="1" x14ac:dyDescent="0.2">
      <c r="A331">
        <v>2023</v>
      </c>
      <c r="B331">
        <v>80205</v>
      </c>
      <c r="C331" t="s">
        <v>86</v>
      </c>
      <c r="D331" t="s">
        <v>96</v>
      </c>
      <c r="E331" t="s">
        <v>15</v>
      </c>
      <c r="F331" t="s">
        <v>16</v>
      </c>
      <c r="G331">
        <v>4.4000000000000004</v>
      </c>
      <c r="H331" s="1">
        <v>34967</v>
      </c>
      <c r="I331" t="s">
        <v>30</v>
      </c>
      <c r="J331">
        <v>80205</v>
      </c>
      <c r="K331" t="s">
        <v>30</v>
      </c>
      <c r="L331" s="3" t="s">
        <v>23</v>
      </c>
      <c r="M331" cm="1">
        <f t="array" ref="M331">_xlfn.IFS(L330="A", 4, L330="B", 3, L330="C", 2, L330="D", 1)</f>
        <v>1</v>
      </c>
    </row>
    <row r="332" spans="1:13" hidden="1" x14ac:dyDescent="0.2">
      <c r="A332">
        <v>2023</v>
      </c>
      <c r="B332">
        <v>80205</v>
      </c>
      <c r="C332" t="s">
        <v>86</v>
      </c>
      <c r="D332" t="s">
        <v>96</v>
      </c>
      <c r="E332" t="s">
        <v>15</v>
      </c>
      <c r="F332" t="s">
        <v>16</v>
      </c>
      <c r="G332">
        <v>4.4000000000000004</v>
      </c>
      <c r="H332" s="1">
        <v>34967</v>
      </c>
      <c r="I332" t="s">
        <v>30</v>
      </c>
      <c r="J332">
        <v>80205</v>
      </c>
      <c r="K332" t="s">
        <v>30</v>
      </c>
      <c r="L332" s="3" t="s">
        <v>23</v>
      </c>
      <c r="M332" cm="1">
        <f t="array" ref="M332">_xlfn.IFS(L331="A", 4, L331="B", 3, L331="C", 2, L331="D", 1)</f>
        <v>1</v>
      </c>
    </row>
    <row r="333" spans="1:13" hidden="1" x14ac:dyDescent="0.2">
      <c r="A333">
        <v>2023</v>
      </c>
      <c r="B333">
        <v>80205</v>
      </c>
      <c r="C333" t="s">
        <v>13</v>
      </c>
      <c r="D333" t="s">
        <v>97</v>
      </c>
      <c r="E333" t="s">
        <v>15</v>
      </c>
      <c r="F333" t="s">
        <v>16</v>
      </c>
      <c r="G333">
        <v>25.2</v>
      </c>
      <c r="H333" s="1">
        <v>34967</v>
      </c>
      <c r="I333" t="s">
        <v>27</v>
      </c>
      <c r="J333">
        <v>80205</v>
      </c>
      <c r="K333" t="s">
        <v>27</v>
      </c>
      <c r="L333" s="3" t="s">
        <v>21</v>
      </c>
      <c r="M333" cm="1">
        <f t="array" ref="M333">_xlfn.IFS(L332="A", 4, L332="B", 3, L332="C", 2, L332="D", 1)</f>
        <v>1</v>
      </c>
    </row>
    <row r="334" spans="1:13" hidden="1" x14ac:dyDescent="0.2">
      <c r="A334">
        <v>2023</v>
      </c>
      <c r="B334">
        <v>80205</v>
      </c>
      <c r="C334" t="s">
        <v>13</v>
      </c>
      <c r="D334" t="s">
        <v>97</v>
      </c>
      <c r="E334" t="s">
        <v>15</v>
      </c>
      <c r="F334" t="s">
        <v>16</v>
      </c>
      <c r="G334">
        <v>25.2</v>
      </c>
      <c r="H334" s="1">
        <v>34967</v>
      </c>
      <c r="I334" t="s">
        <v>28</v>
      </c>
      <c r="J334">
        <v>80205</v>
      </c>
      <c r="K334" t="s">
        <v>28</v>
      </c>
      <c r="L334" s="3" t="s">
        <v>23</v>
      </c>
      <c r="M334" cm="1">
        <f t="array" ref="M334">_xlfn.IFS(L333="A", 4, L333="B", 3, L333="C", 2, L333="D", 1)</f>
        <v>2</v>
      </c>
    </row>
    <row r="335" spans="1:13" hidden="1" x14ac:dyDescent="0.2">
      <c r="A335">
        <v>2023</v>
      </c>
      <c r="B335">
        <v>80205</v>
      </c>
      <c r="C335" t="s">
        <v>13</v>
      </c>
      <c r="D335" t="s">
        <v>97</v>
      </c>
      <c r="E335" t="s">
        <v>15</v>
      </c>
      <c r="F335" t="s">
        <v>16</v>
      </c>
      <c r="G335">
        <v>25.2</v>
      </c>
      <c r="H335" s="1">
        <v>34967</v>
      </c>
      <c r="I335" t="s">
        <v>29</v>
      </c>
      <c r="J335">
        <v>80205</v>
      </c>
      <c r="K335" t="s">
        <v>29</v>
      </c>
      <c r="L335" s="3" t="s">
        <v>23</v>
      </c>
      <c r="M335" cm="1">
        <f t="array" ref="M335">_xlfn.IFS(L334="A", 4, L334="B", 3, L334="C", 2, L334="D", 1)</f>
        <v>1</v>
      </c>
    </row>
    <row r="336" spans="1:13" hidden="1" x14ac:dyDescent="0.2">
      <c r="A336">
        <v>2023</v>
      </c>
      <c r="B336">
        <v>80205</v>
      </c>
      <c r="C336" t="s">
        <v>13</v>
      </c>
      <c r="D336" t="s">
        <v>97</v>
      </c>
      <c r="E336" t="s">
        <v>15</v>
      </c>
      <c r="F336" t="s">
        <v>16</v>
      </c>
      <c r="G336">
        <v>25.2</v>
      </c>
      <c r="H336" s="1">
        <v>34967</v>
      </c>
      <c r="I336" t="s">
        <v>30</v>
      </c>
      <c r="J336">
        <v>80205</v>
      </c>
      <c r="K336" t="s">
        <v>30</v>
      </c>
      <c r="L336" s="3" t="s">
        <v>23</v>
      </c>
      <c r="M336" cm="1">
        <f t="array" ref="M336">_xlfn.IFS(L335="A", 4, L335="B", 3, L335="C", 2, L335="D", 1)</f>
        <v>1</v>
      </c>
    </row>
    <row r="337" spans="1:13" hidden="1" x14ac:dyDescent="0.2">
      <c r="A337">
        <v>2023</v>
      </c>
      <c r="B337">
        <v>80205</v>
      </c>
      <c r="C337" t="s">
        <v>13</v>
      </c>
      <c r="D337" t="s">
        <v>97</v>
      </c>
      <c r="E337" t="s">
        <v>15</v>
      </c>
      <c r="F337" t="s">
        <v>16</v>
      </c>
      <c r="G337">
        <v>25.2</v>
      </c>
      <c r="H337" s="1">
        <v>34967</v>
      </c>
      <c r="I337" t="s">
        <v>30</v>
      </c>
      <c r="J337">
        <v>80205</v>
      </c>
      <c r="K337" t="s">
        <v>30</v>
      </c>
      <c r="L337" s="3" t="s">
        <v>23</v>
      </c>
      <c r="M337" cm="1">
        <f t="array" ref="M337">_xlfn.IFS(L336="A", 4, L336="B", 3, L336="C", 2, L336="D", 1)</f>
        <v>1</v>
      </c>
    </row>
    <row r="338" spans="1:13" hidden="1" x14ac:dyDescent="0.2">
      <c r="A338">
        <v>2023</v>
      </c>
      <c r="B338">
        <v>80205</v>
      </c>
      <c r="C338" t="s">
        <v>86</v>
      </c>
      <c r="D338" t="s">
        <v>98</v>
      </c>
      <c r="E338" t="s">
        <v>15</v>
      </c>
      <c r="F338" t="s">
        <v>16</v>
      </c>
      <c r="G338">
        <v>6.8</v>
      </c>
      <c r="H338" s="1">
        <v>34967</v>
      </c>
      <c r="I338" t="s">
        <v>27</v>
      </c>
      <c r="J338">
        <v>80205</v>
      </c>
      <c r="K338" t="s">
        <v>27</v>
      </c>
      <c r="L338" s="3" t="s">
        <v>21</v>
      </c>
      <c r="M338" cm="1">
        <f t="array" ref="M338">_xlfn.IFS(L337="A", 4, L337="B", 3, L337="C", 2, L337="D", 1)</f>
        <v>1</v>
      </c>
    </row>
    <row r="339" spans="1:13" hidden="1" x14ac:dyDescent="0.2">
      <c r="A339">
        <v>2023</v>
      </c>
      <c r="B339">
        <v>80205</v>
      </c>
      <c r="C339" t="s">
        <v>86</v>
      </c>
      <c r="D339" t="s">
        <v>98</v>
      </c>
      <c r="E339" t="s">
        <v>15</v>
      </c>
      <c r="F339" t="s">
        <v>16</v>
      </c>
      <c r="G339">
        <v>6.8</v>
      </c>
      <c r="H339" s="1">
        <v>34967</v>
      </c>
      <c r="I339" t="s">
        <v>28</v>
      </c>
      <c r="J339">
        <v>80205</v>
      </c>
      <c r="K339" t="s">
        <v>28</v>
      </c>
      <c r="L339" s="3" t="s">
        <v>23</v>
      </c>
      <c r="M339" cm="1">
        <f t="array" ref="M339">_xlfn.IFS(L338="A", 4, L338="B", 3, L338="C", 2, L338="D", 1)</f>
        <v>2</v>
      </c>
    </row>
    <row r="340" spans="1:13" hidden="1" x14ac:dyDescent="0.2">
      <c r="A340">
        <v>2023</v>
      </c>
      <c r="B340">
        <v>80205</v>
      </c>
      <c r="C340" t="s">
        <v>86</v>
      </c>
      <c r="D340" t="s">
        <v>98</v>
      </c>
      <c r="E340" t="s">
        <v>15</v>
      </c>
      <c r="F340" t="s">
        <v>16</v>
      </c>
      <c r="G340">
        <v>6.8</v>
      </c>
      <c r="H340" s="1">
        <v>34967</v>
      </c>
      <c r="I340" t="s">
        <v>29</v>
      </c>
      <c r="J340">
        <v>80205</v>
      </c>
      <c r="K340" t="s">
        <v>29</v>
      </c>
      <c r="L340" s="3" t="s">
        <v>23</v>
      </c>
      <c r="M340" cm="1">
        <f t="array" ref="M340">_xlfn.IFS(L339="A", 4, L339="B", 3, L339="C", 2, L339="D", 1)</f>
        <v>1</v>
      </c>
    </row>
    <row r="341" spans="1:13" hidden="1" x14ac:dyDescent="0.2">
      <c r="A341">
        <v>2023</v>
      </c>
      <c r="B341">
        <v>80205</v>
      </c>
      <c r="C341" t="s">
        <v>86</v>
      </c>
      <c r="D341" t="s">
        <v>98</v>
      </c>
      <c r="E341" t="s">
        <v>15</v>
      </c>
      <c r="F341" t="s">
        <v>16</v>
      </c>
      <c r="G341">
        <v>6.8</v>
      </c>
      <c r="H341" s="1">
        <v>34967</v>
      </c>
      <c r="I341" t="s">
        <v>30</v>
      </c>
      <c r="J341">
        <v>80205</v>
      </c>
      <c r="K341" t="s">
        <v>30</v>
      </c>
      <c r="L341" s="3" t="s">
        <v>23</v>
      </c>
      <c r="M341" cm="1">
        <f t="array" ref="M341">_xlfn.IFS(L340="A", 4, L340="B", 3, L340="C", 2, L340="D", 1)</f>
        <v>1</v>
      </c>
    </row>
    <row r="342" spans="1:13" hidden="1" x14ac:dyDescent="0.2">
      <c r="A342">
        <v>2023</v>
      </c>
      <c r="B342">
        <v>80205</v>
      </c>
      <c r="C342" t="s">
        <v>86</v>
      </c>
      <c r="D342" t="s">
        <v>98</v>
      </c>
      <c r="E342" t="s">
        <v>15</v>
      </c>
      <c r="F342" t="s">
        <v>16</v>
      </c>
      <c r="G342">
        <v>6.8</v>
      </c>
      <c r="H342" s="1">
        <v>34967</v>
      </c>
      <c r="I342" t="s">
        <v>30</v>
      </c>
      <c r="J342">
        <v>80205</v>
      </c>
      <c r="K342" t="s">
        <v>30</v>
      </c>
      <c r="L342" s="3" t="s">
        <v>23</v>
      </c>
      <c r="M342" cm="1">
        <f t="array" ref="M342">_xlfn.IFS(L341="A", 4, L341="B", 3, L341="C", 2, L341="D", 1)</f>
        <v>1</v>
      </c>
    </row>
    <row r="343" spans="1:13" hidden="1" x14ac:dyDescent="0.2">
      <c r="A343">
        <v>2023</v>
      </c>
      <c r="B343">
        <v>80205</v>
      </c>
      <c r="C343" t="s">
        <v>77</v>
      </c>
      <c r="D343" t="s">
        <v>99</v>
      </c>
      <c r="E343" t="s">
        <v>15</v>
      </c>
      <c r="F343" t="s">
        <v>16</v>
      </c>
      <c r="G343">
        <v>16.8</v>
      </c>
      <c r="H343" s="1">
        <v>34967</v>
      </c>
      <c r="I343" t="s">
        <v>27</v>
      </c>
      <c r="J343">
        <v>80205</v>
      </c>
      <c r="K343" t="s">
        <v>27</v>
      </c>
      <c r="L343" s="3" t="s">
        <v>21</v>
      </c>
      <c r="M343" cm="1">
        <f t="array" ref="M343">_xlfn.IFS(L342="A", 4, L342="B", 3, L342="C", 2, L342="D", 1)</f>
        <v>1</v>
      </c>
    </row>
    <row r="344" spans="1:13" hidden="1" x14ac:dyDescent="0.2">
      <c r="A344">
        <v>2023</v>
      </c>
      <c r="B344">
        <v>80205</v>
      </c>
      <c r="C344" t="s">
        <v>77</v>
      </c>
      <c r="D344" t="s">
        <v>99</v>
      </c>
      <c r="E344" t="s">
        <v>15</v>
      </c>
      <c r="F344" t="s">
        <v>16</v>
      </c>
      <c r="G344">
        <v>16.8</v>
      </c>
      <c r="H344" s="1">
        <v>34967</v>
      </c>
      <c r="I344" t="s">
        <v>28</v>
      </c>
      <c r="J344">
        <v>80205</v>
      </c>
      <c r="K344" t="s">
        <v>28</v>
      </c>
      <c r="L344" s="3" t="s">
        <v>23</v>
      </c>
      <c r="M344" cm="1">
        <f t="array" ref="M344">_xlfn.IFS(L343="A", 4, L343="B", 3, L343="C", 2, L343="D", 1)</f>
        <v>2</v>
      </c>
    </row>
    <row r="345" spans="1:13" hidden="1" x14ac:dyDescent="0.2">
      <c r="A345">
        <v>2023</v>
      </c>
      <c r="B345">
        <v>80205</v>
      </c>
      <c r="C345" t="s">
        <v>77</v>
      </c>
      <c r="D345" t="s">
        <v>99</v>
      </c>
      <c r="E345" t="s">
        <v>15</v>
      </c>
      <c r="F345" t="s">
        <v>16</v>
      </c>
      <c r="G345">
        <v>16.8</v>
      </c>
      <c r="H345" s="1">
        <v>34967</v>
      </c>
      <c r="I345" t="s">
        <v>29</v>
      </c>
      <c r="J345">
        <v>80205</v>
      </c>
      <c r="K345" t="s">
        <v>29</v>
      </c>
      <c r="L345" s="3" t="s">
        <v>23</v>
      </c>
      <c r="M345" cm="1">
        <f t="array" ref="M345">_xlfn.IFS(L344="A", 4, L344="B", 3, L344="C", 2, L344="D", 1)</f>
        <v>1</v>
      </c>
    </row>
    <row r="346" spans="1:13" hidden="1" x14ac:dyDescent="0.2">
      <c r="A346">
        <v>2023</v>
      </c>
      <c r="B346">
        <v>80205</v>
      </c>
      <c r="C346" t="s">
        <v>77</v>
      </c>
      <c r="D346" t="s">
        <v>99</v>
      </c>
      <c r="E346" t="s">
        <v>15</v>
      </c>
      <c r="F346" t="s">
        <v>16</v>
      </c>
      <c r="G346">
        <v>16.8</v>
      </c>
      <c r="H346" s="1">
        <v>34967</v>
      </c>
      <c r="I346" t="s">
        <v>30</v>
      </c>
      <c r="J346">
        <v>80205</v>
      </c>
      <c r="K346" t="s">
        <v>30</v>
      </c>
      <c r="L346" s="3" t="s">
        <v>23</v>
      </c>
      <c r="M346" cm="1">
        <f t="array" ref="M346">_xlfn.IFS(L345="A", 4, L345="B", 3, L345="C", 2, L345="D", 1)</f>
        <v>1</v>
      </c>
    </row>
    <row r="347" spans="1:13" hidden="1" x14ac:dyDescent="0.2">
      <c r="A347">
        <v>2023</v>
      </c>
      <c r="B347">
        <v>80205</v>
      </c>
      <c r="C347" t="s">
        <v>77</v>
      </c>
      <c r="D347" t="s">
        <v>99</v>
      </c>
      <c r="E347" t="s">
        <v>15</v>
      </c>
      <c r="F347" t="s">
        <v>16</v>
      </c>
      <c r="G347">
        <v>16.8</v>
      </c>
      <c r="H347" s="1">
        <v>34967</v>
      </c>
      <c r="I347" t="s">
        <v>30</v>
      </c>
      <c r="J347">
        <v>80205</v>
      </c>
      <c r="K347" t="s">
        <v>30</v>
      </c>
      <c r="L347" s="3" t="s">
        <v>23</v>
      </c>
      <c r="M347" cm="1">
        <f t="array" ref="M347">_xlfn.IFS(L346="A", 4, L346="B", 3, L346="C", 2, L346="D", 1)</f>
        <v>1</v>
      </c>
    </row>
    <row r="348" spans="1:13" hidden="1" x14ac:dyDescent="0.2">
      <c r="A348">
        <v>2022</v>
      </c>
      <c r="B348">
        <v>80205</v>
      </c>
      <c r="C348" t="s">
        <v>74</v>
      </c>
      <c r="D348" t="s">
        <v>100</v>
      </c>
      <c r="E348" t="s">
        <v>15</v>
      </c>
      <c r="F348" t="s">
        <v>16</v>
      </c>
      <c r="G348">
        <v>72.599999999999994</v>
      </c>
      <c r="H348" s="1">
        <v>34967</v>
      </c>
      <c r="I348" t="s">
        <v>27</v>
      </c>
      <c r="J348">
        <v>80205</v>
      </c>
      <c r="K348" t="s">
        <v>27</v>
      </c>
      <c r="L348" s="3" t="s">
        <v>21</v>
      </c>
      <c r="M348" cm="1">
        <f t="array" ref="M348">_xlfn.IFS(L347="A", 4, L347="B", 3, L347="C", 2, L347="D", 1)</f>
        <v>1</v>
      </c>
    </row>
    <row r="349" spans="1:13" hidden="1" x14ac:dyDescent="0.2">
      <c r="A349">
        <v>2022</v>
      </c>
      <c r="B349">
        <v>80205</v>
      </c>
      <c r="C349" t="s">
        <v>74</v>
      </c>
      <c r="D349" t="s">
        <v>100</v>
      </c>
      <c r="E349" t="s">
        <v>15</v>
      </c>
      <c r="F349" t="s">
        <v>16</v>
      </c>
      <c r="G349">
        <v>72.599999999999994</v>
      </c>
      <c r="H349" s="1">
        <v>34967</v>
      </c>
      <c r="I349" t="s">
        <v>28</v>
      </c>
      <c r="J349">
        <v>80205</v>
      </c>
      <c r="K349" t="s">
        <v>28</v>
      </c>
      <c r="L349" s="3" t="s">
        <v>23</v>
      </c>
      <c r="M349" cm="1">
        <f t="array" ref="M349">_xlfn.IFS(L348="A", 4, L348="B", 3, L348="C", 2, L348="D", 1)</f>
        <v>2</v>
      </c>
    </row>
    <row r="350" spans="1:13" hidden="1" x14ac:dyDescent="0.2">
      <c r="A350">
        <v>2022</v>
      </c>
      <c r="B350">
        <v>80205</v>
      </c>
      <c r="C350" t="s">
        <v>74</v>
      </c>
      <c r="D350" t="s">
        <v>100</v>
      </c>
      <c r="E350" t="s">
        <v>15</v>
      </c>
      <c r="F350" t="s">
        <v>16</v>
      </c>
      <c r="G350">
        <v>72.599999999999994</v>
      </c>
      <c r="H350" s="1">
        <v>34967</v>
      </c>
      <c r="I350" t="s">
        <v>29</v>
      </c>
      <c r="J350">
        <v>80205</v>
      </c>
      <c r="K350" t="s">
        <v>29</v>
      </c>
      <c r="L350" s="3" t="s">
        <v>23</v>
      </c>
      <c r="M350" cm="1">
        <f t="array" ref="M350">_xlfn.IFS(L349="A", 4, L349="B", 3, L349="C", 2, L349="D", 1)</f>
        <v>1</v>
      </c>
    </row>
    <row r="351" spans="1:13" hidden="1" x14ac:dyDescent="0.2">
      <c r="A351">
        <v>2022</v>
      </c>
      <c r="B351">
        <v>80205</v>
      </c>
      <c r="C351" t="s">
        <v>74</v>
      </c>
      <c r="D351" t="s">
        <v>100</v>
      </c>
      <c r="E351" t="s">
        <v>15</v>
      </c>
      <c r="F351" t="s">
        <v>16</v>
      </c>
      <c r="G351">
        <v>72.599999999999994</v>
      </c>
      <c r="H351" s="1">
        <v>34967</v>
      </c>
      <c r="I351" t="s">
        <v>30</v>
      </c>
      <c r="J351">
        <v>80205</v>
      </c>
      <c r="K351" t="s">
        <v>30</v>
      </c>
      <c r="L351" s="3" t="s">
        <v>23</v>
      </c>
      <c r="M351" cm="1">
        <f t="array" ref="M351">_xlfn.IFS(L350="A", 4, L350="B", 3, L350="C", 2, L350="D", 1)</f>
        <v>1</v>
      </c>
    </row>
    <row r="352" spans="1:13" hidden="1" x14ac:dyDescent="0.2">
      <c r="A352">
        <v>2022</v>
      </c>
      <c r="B352">
        <v>80205</v>
      </c>
      <c r="C352" t="s">
        <v>74</v>
      </c>
      <c r="D352" t="s">
        <v>100</v>
      </c>
      <c r="E352" t="s">
        <v>15</v>
      </c>
      <c r="F352" t="s">
        <v>16</v>
      </c>
      <c r="G352">
        <v>72.599999999999994</v>
      </c>
      <c r="H352" s="1">
        <v>34967</v>
      </c>
      <c r="I352" t="s">
        <v>30</v>
      </c>
      <c r="J352">
        <v>80205</v>
      </c>
      <c r="K352" t="s">
        <v>30</v>
      </c>
      <c r="L352" s="3" t="s">
        <v>23</v>
      </c>
      <c r="M352" cm="1">
        <f t="array" ref="M352">_xlfn.IFS(L351="A", 4, L351="B", 3, L351="C", 2, L351="D", 1)</f>
        <v>1</v>
      </c>
    </row>
    <row r="353" spans="1:13" hidden="1" x14ac:dyDescent="0.2">
      <c r="A353">
        <v>2023</v>
      </c>
      <c r="B353">
        <v>80205</v>
      </c>
      <c r="C353" t="s">
        <v>94</v>
      </c>
      <c r="D353" t="s">
        <v>101</v>
      </c>
      <c r="E353" t="s">
        <v>15</v>
      </c>
      <c r="F353" t="s">
        <v>16</v>
      </c>
      <c r="G353">
        <v>16.600000000000001</v>
      </c>
      <c r="H353" s="1">
        <v>34967</v>
      </c>
      <c r="I353" t="s">
        <v>27</v>
      </c>
      <c r="J353">
        <v>80205</v>
      </c>
      <c r="K353" t="s">
        <v>27</v>
      </c>
      <c r="L353" s="3" t="s">
        <v>21</v>
      </c>
      <c r="M353" cm="1">
        <f t="array" ref="M353">_xlfn.IFS(L352="A", 4, L352="B", 3, L352="C", 2, L352="D", 1)</f>
        <v>1</v>
      </c>
    </row>
    <row r="354" spans="1:13" hidden="1" x14ac:dyDescent="0.2">
      <c r="A354">
        <v>2023</v>
      </c>
      <c r="B354">
        <v>80205</v>
      </c>
      <c r="C354" t="s">
        <v>94</v>
      </c>
      <c r="D354" t="s">
        <v>101</v>
      </c>
      <c r="E354" t="s">
        <v>15</v>
      </c>
      <c r="F354" t="s">
        <v>16</v>
      </c>
      <c r="G354">
        <v>16.600000000000001</v>
      </c>
      <c r="H354" s="1">
        <v>34967</v>
      </c>
      <c r="I354" t="s">
        <v>28</v>
      </c>
      <c r="J354">
        <v>80205</v>
      </c>
      <c r="K354" t="s">
        <v>28</v>
      </c>
      <c r="L354" s="3" t="s">
        <v>23</v>
      </c>
      <c r="M354" cm="1">
        <f t="array" ref="M354">_xlfn.IFS(L353="A", 4, L353="B", 3, L353="C", 2, L353="D", 1)</f>
        <v>2</v>
      </c>
    </row>
    <row r="355" spans="1:13" hidden="1" x14ac:dyDescent="0.2">
      <c r="A355">
        <v>2023</v>
      </c>
      <c r="B355">
        <v>80205</v>
      </c>
      <c r="C355" t="s">
        <v>94</v>
      </c>
      <c r="D355" t="s">
        <v>101</v>
      </c>
      <c r="E355" t="s">
        <v>15</v>
      </c>
      <c r="F355" t="s">
        <v>16</v>
      </c>
      <c r="G355">
        <v>16.600000000000001</v>
      </c>
      <c r="H355" s="1">
        <v>34967</v>
      </c>
      <c r="I355" t="s">
        <v>29</v>
      </c>
      <c r="J355">
        <v>80205</v>
      </c>
      <c r="K355" t="s">
        <v>29</v>
      </c>
      <c r="L355" s="3" t="s">
        <v>23</v>
      </c>
      <c r="M355" cm="1">
        <f t="array" ref="M355">_xlfn.IFS(L354="A", 4, L354="B", 3, L354="C", 2, L354="D", 1)</f>
        <v>1</v>
      </c>
    </row>
    <row r="356" spans="1:13" hidden="1" x14ac:dyDescent="0.2">
      <c r="A356">
        <v>2023</v>
      </c>
      <c r="B356">
        <v>80205</v>
      </c>
      <c r="C356" t="s">
        <v>94</v>
      </c>
      <c r="D356" t="s">
        <v>101</v>
      </c>
      <c r="E356" t="s">
        <v>15</v>
      </c>
      <c r="F356" t="s">
        <v>16</v>
      </c>
      <c r="G356">
        <v>16.600000000000001</v>
      </c>
      <c r="H356" s="1">
        <v>34967</v>
      </c>
      <c r="I356" t="s">
        <v>30</v>
      </c>
      <c r="J356">
        <v>80205</v>
      </c>
      <c r="K356" t="s">
        <v>30</v>
      </c>
      <c r="L356" s="3" t="s">
        <v>23</v>
      </c>
      <c r="M356" cm="1">
        <f t="array" ref="M356">_xlfn.IFS(L355="A", 4, L355="B", 3, L355="C", 2, L355="D", 1)</f>
        <v>1</v>
      </c>
    </row>
    <row r="357" spans="1:13" hidden="1" x14ac:dyDescent="0.2">
      <c r="A357">
        <v>2023</v>
      </c>
      <c r="B357">
        <v>80205</v>
      </c>
      <c r="C357" t="s">
        <v>94</v>
      </c>
      <c r="D357" t="s">
        <v>101</v>
      </c>
      <c r="E357" t="s">
        <v>15</v>
      </c>
      <c r="F357" t="s">
        <v>16</v>
      </c>
      <c r="G357">
        <v>16.600000000000001</v>
      </c>
      <c r="H357" s="1">
        <v>34967</v>
      </c>
      <c r="I357" t="s">
        <v>30</v>
      </c>
      <c r="J357">
        <v>80205</v>
      </c>
      <c r="K357" t="s">
        <v>30</v>
      </c>
      <c r="L357" s="3" t="s">
        <v>23</v>
      </c>
      <c r="M357" cm="1">
        <f t="array" ref="M357">_xlfn.IFS(L356="A", 4, L356="B", 3, L356="C", 2, L356="D", 1)</f>
        <v>1</v>
      </c>
    </row>
    <row r="358" spans="1:13" hidden="1" x14ac:dyDescent="0.2">
      <c r="A358">
        <v>2023</v>
      </c>
      <c r="B358">
        <v>80205</v>
      </c>
      <c r="C358" t="s">
        <v>86</v>
      </c>
      <c r="D358" t="s">
        <v>102</v>
      </c>
      <c r="E358" t="s">
        <v>15</v>
      </c>
      <c r="F358" t="s">
        <v>16</v>
      </c>
      <c r="G358">
        <v>8.1999999999999993</v>
      </c>
      <c r="H358" s="1">
        <v>34967</v>
      </c>
      <c r="I358" t="s">
        <v>27</v>
      </c>
      <c r="J358">
        <v>80205</v>
      </c>
      <c r="K358" t="s">
        <v>27</v>
      </c>
      <c r="L358" s="3" t="s">
        <v>21</v>
      </c>
      <c r="M358" cm="1">
        <f t="array" ref="M358">_xlfn.IFS(L357="A", 4, L357="B", 3, L357="C", 2, L357="D", 1)</f>
        <v>1</v>
      </c>
    </row>
    <row r="359" spans="1:13" hidden="1" x14ac:dyDescent="0.2">
      <c r="A359">
        <v>2023</v>
      </c>
      <c r="B359">
        <v>80205</v>
      </c>
      <c r="C359" t="s">
        <v>86</v>
      </c>
      <c r="D359" t="s">
        <v>102</v>
      </c>
      <c r="E359" t="s">
        <v>15</v>
      </c>
      <c r="F359" t="s">
        <v>16</v>
      </c>
      <c r="G359">
        <v>8.1999999999999993</v>
      </c>
      <c r="H359" s="1">
        <v>34967</v>
      </c>
      <c r="I359" t="s">
        <v>28</v>
      </c>
      <c r="J359">
        <v>80205</v>
      </c>
      <c r="K359" t="s">
        <v>28</v>
      </c>
      <c r="L359" s="3" t="s">
        <v>23</v>
      </c>
      <c r="M359" cm="1">
        <f t="array" ref="M359">_xlfn.IFS(L358="A", 4, L358="B", 3, L358="C", 2, L358="D", 1)</f>
        <v>2</v>
      </c>
    </row>
    <row r="360" spans="1:13" hidden="1" x14ac:dyDescent="0.2">
      <c r="A360">
        <v>2023</v>
      </c>
      <c r="B360">
        <v>80205</v>
      </c>
      <c r="C360" t="s">
        <v>86</v>
      </c>
      <c r="D360" t="s">
        <v>102</v>
      </c>
      <c r="E360" t="s">
        <v>15</v>
      </c>
      <c r="F360" t="s">
        <v>16</v>
      </c>
      <c r="G360">
        <v>8.1999999999999993</v>
      </c>
      <c r="H360" s="1">
        <v>34967</v>
      </c>
      <c r="I360" t="s">
        <v>29</v>
      </c>
      <c r="J360">
        <v>80205</v>
      </c>
      <c r="K360" t="s">
        <v>29</v>
      </c>
      <c r="L360" s="3" t="s">
        <v>23</v>
      </c>
      <c r="M360" cm="1">
        <f t="array" ref="M360">_xlfn.IFS(L359="A", 4, L359="B", 3, L359="C", 2, L359="D", 1)</f>
        <v>1</v>
      </c>
    </row>
    <row r="361" spans="1:13" hidden="1" x14ac:dyDescent="0.2">
      <c r="A361">
        <v>2023</v>
      </c>
      <c r="B361">
        <v>80205</v>
      </c>
      <c r="C361" t="s">
        <v>86</v>
      </c>
      <c r="D361" t="s">
        <v>102</v>
      </c>
      <c r="E361" t="s">
        <v>15</v>
      </c>
      <c r="F361" t="s">
        <v>16</v>
      </c>
      <c r="G361">
        <v>8.1999999999999993</v>
      </c>
      <c r="H361" s="1">
        <v>34967</v>
      </c>
      <c r="I361" t="s">
        <v>30</v>
      </c>
      <c r="J361">
        <v>80205</v>
      </c>
      <c r="K361" t="s">
        <v>30</v>
      </c>
      <c r="L361" s="3" t="s">
        <v>23</v>
      </c>
      <c r="M361" cm="1">
        <f t="array" ref="M361">_xlfn.IFS(L360="A", 4, L360="B", 3, L360="C", 2, L360="D", 1)</f>
        <v>1</v>
      </c>
    </row>
    <row r="362" spans="1:13" hidden="1" x14ac:dyDescent="0.2">
      <c r="A362">
        <v>2023</v>
      </c>
      <c r="B362">
        <v>80205</v>
      </c>
      <c r="C362" t="s">
        <v>86</v>
      </c>
      <c r="D362" t="s">
        <v>102</v>
      </c>
      <c r="E362" t="s">
        <v>15</v>
      </c>
      <c r="F362" t="s">
        <v>16</v>
      </c>
      <c r="G362">
        <v>8.1999999999999993</v>
      </c>
      <c r="H362" s="1">
        <v>34967</v>
      </c>
      <c r="I362" t="s">
        <v>30</v>
      </c>
      <c r="J362">
        <v>80205</v>
      </c>
      <c r="K362" t="s">
        <v>30</v>
      </c>
      <c r="L362" s="3" t="s">
        <v>23</v>
      </c>
      <c r="M362" cm="1">
        <f t="array" ref="M362">_xlfn.IFS(L361="A", 4, L361="B", 3, L361="C", 2, L361="D", 1)</f>
        <v>1</v>
      </c>
    </row>
    <row r="363" spans="1:13" hidden="1" x14ac:dyDescent="0.2">
      <c r="A363">
        <v>2023</v>
      </c>
      <c r="B363">
        <v>80205</v>
      </c>
      <c r="C363" t="s">
        <v>13</v>
      </c>
      <c r="D363" t="s">
        <v>103</v>
      </c>
      <c r="E363" t="s">
        <v>15</v>
      </c>
      <c r="F363" t="s">
        <v>16</v>
      </c>
      <c r="G363">
        <v>23.1</v>
      </c>
      <c r="H363" s="1">
        <v>34967</v>
      </c>
      <c r="I363" t="s">
        <v>27</v>
      </c>
      <c r="J363">
        <v>80205</v>
      </c>
      <c r="K363" t="s">
        <v>27</v>
      </c>
      <c r="L363" s="3" t="s">
        <v>21</v>
      </c>
      <c r="M363" cm="1">
        <f t="array" ref="M363">_xlfn.IFS(L362="A", 4, L362="B", 3, L362="C", 2, L362="D", 1)</f>
        <v>1</v>
      </c>
    </row>
    <row r="364" spans="1:13" hidden="1" x14ac:dyDescent="0.2">
      <c r="A364">
        <v>2023</v>
      </c>
      <c r="B364">
        <v>80205</v>
      </c>
      <c r="C364" t="s">
        <v>13</v>
      </c>
      <c r="D364" t="s">
        <v>103</v>
      </c>
      <c r="E364" t="s">
        <v>15</v>
      </c>
      <c r="F364" t="s">
        <v>16</v>
      </c>
      <c r="G364">
        <v>23.1</v>
      </c>
      <c r="H364" s="1">
        <v>34967</v>
      </c>
      <c r="I364" t="s">
        <v>28</v>
      </c>
      <c r="J364">
        <v>80205</v>
      </c>
      <c r="K364" t="s">
        <v>28</v>
      </c>
      <c r="L364" s="3" t="s">
        <v>23</v>
      </c>
      <c r="M364" cm="1">
        <f t="array" ref="M364">_xlfn.IFS(L363="A", 4, L363="B", 3, L363="C", 2, L363="D", 1)</f>
        <v>2</v>
      </c>
    </row>
    <row r="365" spans="1:13" hidden="1" x14ac:dyDescent="0.2">
      <c r="A365">
        <v>2023</v>
      </c>
      <c r="B365">
        <v>80205</v>
      </c>
      <c r="C365" t="s">
        <v>13</v>
      </c>
      <c r="D365" t="s">
        <v>103</v>
      </c>
      <c r="E365" t="s">
        <v>15</v>
      </c>
      <c r="F365" t="s">
        <v>16</v>
      </c>
      <c r="G365">
        <v>23.1</v>
      </c>
      <c r="H365" s="1">
        <v>34967</v>
      </c>
      <c r="I365" t="s">
        <v>29</v>
      </c>
      <c r="J365">
        <v>80205</v>
      </c>
      <c r="K365" t="s">
        <v>29</v>
      </c>
      <c r="L365" s="3" t="s">
        <v>23</v>
      </c>
      <c r="M365" cm="1">
        <f t="array" ref="M365">_xlfn.IFS(L364="A", 4, L364="B", 3, L364="C", 2, L364="D", 1)</f>
        <v>1</v>
      </c>
    </row>
    <row r="366" spans="1:13" hidden="1" x14ac:dyDescent="0.2">
      <c r="A366">
        <v>2023</v>
      </c>
      <c r="B366">
        <v>80205</v>
      </c>
      <c r="C366" t="s">
        <v>13</v>
      </c>
      <c r="D366" t="s">
        <v>103</v>
      </c>
      <c r="E366" t="s">
        <v>15</v>
      </c>
      <c r="F366" t="s">
        <v>16</v>
      </c>
      <c r="G366">
        <v>23.1</v>
      </c>
      <c r="H366" s="1">
        <v>34967</v>
      </c>
      <c r="I366" t="s">
        <v>30</v>
      </c>
      <c r="J366">
        <v>80205</v>
      </c>
      <c r="K366" t="s">
        <v>30</v>
      </c>
      <c r="L366" s="3" t="s">
        <v>23</v>
      </c>
      <c r="M366" cm="1">
        <f t="array" ref="M366">_xlfn.IFS(L365="A", 4, L365="B", 3, L365="C", 2, L365="D", 1)</f>
        <v>1</v>
      </c>
    </row>
    <row r="367" spans="1:13" hidden="1" x14ac:dyDescent="0.2">
      <c r="A367">
        <v>2023</v>
      </c>
      <c r="B367">
        <v>80205</v>
      </c>
      <c r="C367" t="s">
        <v>13</v>
      </c>
      <c r="D367" t="s">
        <v>103</v>
      </c>
      <c r="E367" t="s">
        <v>15</v>
      </c>
      <c r="F367" t="s">
        <v>16</v>
      </c>
      <c r="G367">
        <v>23.1</v>
      </c>
      <c r="H367" s="1">
        <v>34967</v>
      </c>
      <c r="I367" t="s">
        <v>30</v>
      </c>
      <c r="J367">
        <v>80205</v>
      </c>
      <c r="K367" t="s">
        <v>30</v>
      </c>
      <c r="L367" s="3" t="s">
        <v>23</v>
      </c>
      <c r="M367" cm="1">
        <f t="array" ref="M367">_xlfn.IFS(L366="A", 4, L366="B", 3, L366="C", 2, L366="D", 1)</f>
        <v>1</v>
      </c>
    </row>
    <row r="368" spans="1:13" hidden="1" x14ac:dyDescent="0.2">
      <c r="A368">
        <v>2023</v>
      </c>
      <c r="B368">
        <v>80205</v>
      </c>
      <c r="C368" t="s">
        <v>94</v>
      </c>
      <c r="D368" t="s">
        <v>104</v>
      </c>
      <c r="E368" t="s">
        <v>15</v>
      </c>
      <c r="F368" t="s">
        <v>16</v>
      </c>
      <c r="G368">
        <v>10.5</v>
      </c>
      <c r="H368" s="1">
        <v>34967</v>
      </c>
      <c r="I368" t="s">
        <v>27</v>
      </c>
      <c r="J368">
        <v>80205</v>
      </c>
      <c r="K368" t="s">
        <v>27</v>
      </c>
      <c r="L368" s="3" t="s">
        <v>21</v>
      </c>
      <c r="M368" cm="1">
        <f t="array" ref="M368">_xlfn.IFS(L367="A", 4, L367="B", 3, L367="C", 2, L367="D", 1)</f>
        <v>1</v>
      </c>
    </row>
    <row r="369" spans="1:13" hidden="1" x14ac:dyDescent="0.2">
      <c r="A369">
        <v>2023</v>
      </c>
      <c r="B369">
        <v>80205</v>
      </c>
      <c r="C369" t="s">
        <v>94</v>
      </c>
      <c r="D369" t="s">
        <v>104</v>
      </c>
      <c r="E369" t="s">
        <v>15</v>
      </c>
      <c r="F369" t="s">
        <v>16</v>
      </c>
      <c r="G369">
        <v>10.5</v>
      </c>
      <c r="H369" s="1">
        <v>34967</v>
      </c>
      <c r="I369" t="s">
        <v>28</v>
      </c>
      <c r="J369">
        <v>80205</v>
      </c>
      <c r="K369" t="s">
        <v>28</v>
      </c>
      <c r="L369" s="3" t="s">
        <v>23</v>
      </c>
      <c r="M369" cm="1">
        <f t="array" ref="M369">_xlfn.IFS(L368="A", 4, L368="B", 3, L368="C", 2, L368="D", 1)</f>
        <v>2</v>
      </c>
    </row>
    <row r="370" spans="1:13" hidden="1" x14ac:dyDescent="0.2">
      <c r="A370">
        <v>2023</v>
      </c>
      <c r="B370">
        <v>80205</v>
      </c>
      <c r="C370" t="s">
        <v>94</v>
      </c>
      <c r="D370" t="s">
        <v>104</v>
      </c>
      <c r="E370" t="s">
        <v>15</v>
      </c>
      <c r="F370" t="s">
        <v>16</v>
      </c>
      <c r="G370">
        <v>10.5</v>
      </c>
      <c r="H370" s="1">
        <v>34967</v>
      </c>
      <c r="I370" t="s">
        <v>29</v>
      </c>
      <c r="J370">
        <v>80205</v>
      </c>
      <c r="K370" t="s">
        <v>29</v>
      </c>
      <c r="L370" s="3" t="s">
        <v>23</v>
      </c>
      <c r="M370" cm="1">
        <f t="array" ref="M370">_xlfn.IFS(L369="A", 4, L369="B", 3, L369="C", 2, L369="D", 1)</f>
        <v>1</v>
      </c>
    </row>
    <row r="371" spans="1:13" hidden="1" x14ac:dyDescent="0.2">
      <c r="A371">
        <v>2023</v>
      </c>
      <c r="B371">
        <v>80205</v>
      </c>
      <c r="C371" t="s">
        <v>94</v>
      </c>
      <c r="D371" t="s">
        <v>104</v>
      </c>
      <c r="E371" t="s">
        <v>15</v>
      </c>
      <c r="F371" t="s">
        <v>16</v>
      </c>
      <c r="G371">
        <v>10.5</v>
      </c>
      <c r="H371" s="1">
        <v>34967</v>
      </c>
      <c r="I371" t="s">
        <v>30</v>
      </c>
      <c r="J371">
        <v>80205</v>
      </c>
      <c r="K371" t="s">
        <v>30</v>
      </c>
      <c r="L371" s="3" t="s">
        <v>23</v>
      </c>
      <c r="M371" cm="1">
        <f t="array" ref="M371">_xlfn.IFS(L370="A", 4, L370="B", 3, L370="C", 2, L370="D", 1)</f>
        <v>1</v>
      </c>
    </row>
    <row r="372" spans="1:13" hidden="1" x14ac:dyDescent="0.2">
      <c r="A372">
        <v>2023</v>
      </c>
      <c r="B372">
        <v>80205</v>
      </c>
      <c r="C372" t="s">
        <v>94</v>
      </c>
      <c r="D372" t="s">
        <v>104</v>
      </c>
      <c r="E372" t="s">
        <v>15</v>
      </c>
      <c r="F372" t="s">
        <v>16</v>
      </c>
      <c r="G372">
        <v>10.5</v>
      </c>
      <c r="H372" s="1">
        <v>34967</v>
      </c>
      <c r="I372" t="s">
        <v>30</v>
      </c>
      <c r="J372">
        <v>80205</v>
      </c>
      <c r="K372" t="s">
        <v>30</v>
      </c>
      <c r="L372" s="3" t="s">
        <v>23</v>
      </c>
      <c r="M372" cm="1">
        <f t="array" ref="M372">_xlfn.IFS(L371="A", 4, L371="B", 3, L371="C", 2, L371="D", 1)</f>
        <v>1</v>
      </c>
    </row>
    <row r="373" spans="1:13" hidden="1" x14ac:dyDescent="0.2">
      <c r="A373">
        <v>2023</v>
      </c>
      <c r="B373">
        <v>80205</v>
      </c>
      <c r="C373" t="s">
        <v>86</v>
      </c>
      <c r="D373" t="s">
        <v>105</v>
      </c>
      <c r="E373" t="s">
        <v>15</v>
      </c>
      <c r="F373" t="s">
        <v>16</v>
      </c>
      <c r="G373">
        <v>2.8</v>
      </c>
      <c r="H373" s="1">
        <v>34967</v>
      </c>
      <c r="I373" t="s">
        <v>27</v>
      </c>
      <c r="J373">
        <v>80205</v>
      </c>
      <c r="K373" t="s">
        <v>27</v>
      </c>
      <c r="L373" s="3" t="s">
        <v>21</v>
      </c>
      <c r="M373" cm="1">
        <f t="array" ref="M373">_xlfn.IFS(L372="A", 4, L372="B", 3, L372="C", 2, L372="D", 1)</f>
        <v>1</v>
      </c>
    </row>
    <row r="374" spans="1:13" hidden="1" x14ac:dyDescent="0.2">
      <c r="A374">
        <v>2023</v>
      </c>
      <c r="B374">
        <v>80205</v>
      </c>
      <c r="C374" t="s">
        <v>86</v>
      </c>
      <c r="D374" t="s">
        <v>105</v>
      </c>
      <c r="E374" t="s">
        <v>15</v>
      </c>
      <c r="F374" t="s">
        <v>16</v>
      </c>
      <c r="G374">
        <v>2.8</v>
      </c>
      <c r="H374" s="1">
        <v>34967</v>
      </c>
      <c r="I374" t="s">
        <v>28</v>
      </c>
      <c r="J374">
        <v>80205</v>
      </c>
      <c r="K374" t="s">
        <v>28</v>
      </c>
      <c r="L374" s="3" t="s">
        <v>23</v>
      </c>
      <c r="M374" cm="1">
        <f t="array" ref="M374">_xlfn.IFS(L373="A", 4, L373="B", 3, L373="C", 2, L373="D", 1)</f>
        <v>2</v>
      </c>
    </row>
    <row r="375" spans="1:13" hidden="1" x14ac:dyDescent="0.2">
      <c r="A375">
        <v>2023</v>
      </c>
      <c r="B375">
        <v>80205</v>
      </c>
      <c r="C375" t="s">
        <v>86</v>
      </c>
      <c r="D375" t="s">
        <v>105</v>
      </c>
      <c r="E375" t="s">
        <v>15</v>
      </c>
      <c r="F375" t="s">
        <v>16</v>
      </c>
      <c r="G375">
        <v>2.8</v>
      </c>
      <c r="H375" s="1">
        <v>34967</v>
      </c>
      <c r="I375" t="s">
        <v>29</v>
      </c>
      <c r="J375">
        <v>80205</v>
      </c>
      <c r="K375" t="s">
        <v>29</v>
      </c>
      <c r="L375" s="3" t="s">
        <v>23</v>
      </c>
      <c r="M375" cm="1">
        <f t="array" ref="M375">_xlfn.IFS(L374="A", 4, L374="B", 3, L374="C", 2, L374="D", 1)</f>
        <v>1</v>
      </c>
    </row>
    <row r="376" spans="1:13" hidden="1" x14ac:dyDescent="0.2">
      <c r="A376">
        <v>2023</v>
      </c>
      <c r="B376">
        <v>80205</v>
      </c>
      <c r="C376" t="s">
        <v>86</v>
      </c>
      <c r="D376" t="s">
        <v>105</v>
      </c>
      <c r="E376" t="s">
        <v>15</v>
      </c>
      <c r="F376" t="s">
        <v>16</v>
      </c>
      <c r="G376">
        <v>2.8</v>
      </c>
      <c r="H376" s="1">
        <v>34967</v>
      </c>
      <c r="I376" t="s">
        <v>30</v>
      </c>
      <c r="J376">
        <v>80205</v>
      </c>
      <c r="K376" t="s">
        <v>30</v>
      </c>
      <c r="L376" s="3" t="s">
        <v>23</v>
      </c>
      <c r="M376" cm="1">
        <f t="array" ref="M376">_xlfn.IFS(L375="A", 4, L375="B", 3, L375="C", 2, L375="D", 1)</f>
        <v>1</v>
      </c>
    </row>
    <row r="377" spans="1:13" hidden="1" x14ac:dyDescent="0.2">
      <c r="A377">
        <v>2023</v>
      </c>
      <c r="B377">
        <v>80205</v>
      </c>
      <c r="C377" t="s">
        <v>86</v>
      </c>
      <c r="D377" t="s">
        <v>105</v>
      </c>
      <c r="E377" t="s">
        <v>15</v>
      </c>
      <c r="F377" t="s">
        <v>16</v>
      </c>
      <c r="G377">
        <v>2.8</v>
      </c>
      <c r="H377" s="1">
        <v>34967</v>
      </c>
      <c r="I377" t="s">
        <v>30</v>
      </c>
      <c r="J377">
        <v>80205</v>
      </c>
      <c r="K377" t="s">
        <v>30</v>
      </c>
      <c r="L377" s="3" t="s">
        <v>23</v>
      </c>
      <c r="M377" cm="1">
        <f t="array" ref="M377">_xlfn.IFS(L376="A", 4, L376="B", 3, L376="C", 2, L376="D", 1)</f>
        <v>1</v>
      </c>
    </row>
    <row r="378" spans="1:13" hidden="1" x14ac:dyDescent="0.2">
      <c r="A378">
        <v>2022</v>
      </c>
      <c r="B378">
        <v>80205</v>
      </c>
      <c r="C378" t="s">
        <v>77</v>
      </c>
      <c r="D378" t="s">
        <v>106</v>
      </c>
      <c r="E378" t="s">
        <v>15</v>
      </c>
      <c r="F378" t="s">
        <v>16</v>
      </c>
      <c r="G378">
        <v>30.3</v>
      </c>
      <c r="H378" s="1">
        <v>34967</v>
      </c>
      <c r="I378" t="s">
        <v>27</v>
      </c>
      <c r="J378">
        <v>80205</v>
      </c>
      <c r="K378" t="s">
        <v>27</v>
      </c>
      <c r="L378" s="3" t="s">
        <v>21</v>
      </c>
      <c r="M378" cm="1">
        <f t="array" ref="M378">_xlfn.IFS(L377="A", 4, L377="B", 3, L377="C", 2, L377="D", 1)</f>
        <v>1</v>
      </c>
    </row>
    <row r="379" spans="1:13" hidden="1" x14ac:dyDescent="0.2">
      <c r="A379">
        <v>2022</v>
      </c>
      <c r="B379">
        <v>80205</v>
      </c>
      <c r="C379" t="s">
        <v>77</v>
      </c>
      <c r="D379" t="s">
        <v>106</v>
      </c>
      <c r="E379" t="s">
        <v>15</v>
      </c>
      <c r="F379" t="s">
        <v>16</v>
      </c>
      <c r="G379">
        <v>30.3</v>
      </c>
      <c r="H379" s="1">
        <v>34967</v>
      </c>
      <c r="I379" t="s">
        <v>28</v>
      </c>
      <c r="J379">
        <v>80205</v>
      </c>
      <c r="K379" t="s">
        <v>28</v>
      </c>
      <c r="L379" s="3" t="s">
        <v>23</v>
      </c>
      <c r="M379" cm="1">
        <f t="array" ref="M379">_xlfn.IFS(L378="A", 4, L378="B", 3, L378="C", 2, L378="D", 1)</f>
        <v>2</v>
      </c>
    </row>
    <row r="380" spans="1:13" hidden="1" x14ac:dyDescent="0.2">
      <c r="A380">
        <v>2022</v>
      </c>
      <c r="B380">
        <v>80205</v>
      </c>
      <c r="C380" t="s">
        <v>77</v>
      </c>
      <c r="D380" t="s">
        <v>106</v>
      </c>
      <c r="E380" t="s">
        <v>15</v>
      </c>
      <c r="F380" t="s">
        <v>16</v>
      </c>
      <c r="G380">
        <v>30.3</v>
      </c>
      <c r="H380" s="1">
        <v>34967</v>
      </c>
      <c r="I380" t="s">
        <v>29</v>
      </c>
      <c r="J380">
        <v>80205</v>
      </c>
      <c r="K380" t="s">
        <v>29</v>
      </c>
      <c r="L380" s="3" t="s">
        <v>23</v>
      </c>
      <c r="M380" cm="1">
        <f t="array" ref="M380">_xlfn.IFS(L379="A", 4, L379="B", 3, L379="C", 2, L379="D", 1)</f>
        <v>1</v>
      </c>
    </row>
    <row r="381" spans="1:13" hidden="1" x14ac:dyDescent="0.2">
      <c r="A381">
        <v>2022</v>
      </c>
      <c r="B381">
        <v>80205</v>
      </c>
      <c r="C381" t="s">
        <v>77</v>
      </c>
      <c r="D381" t="s">
        <v>106</v>
      </c>
      <c r="E381" t="s">
        <v>15</v>
      </c>
      <c r="F381" t="s">
        <v>16</v>
      </c>
      <c r="G381">
        <v>30.3</v>
      </c>
      <c r="H381" s="1">
        <v>34967</v>
      </c>
      <c r="I381" t="s">
        <v>30</v>
      </c>
      <c r="J381">
        <v>80205</v>
      </c>
      <c r="K381" t="s">
        <v>30</v>
      </c>
      <c r="L381" s="3" t="s">
        <v>23</v>
      </c>
      <c r="M381" cm="1">
        <f t="array" ref="M381">_xlfn.IFS(L380="A", 4, L380="B", 3, L380="C", 2, L380="D", 1)</f>
        <v>1</v>
      </c>
    </row>
    <row r="382" spans="1:13" hidden="1" x14ac:dyDescent="0.2">
      <c r="A382">
        <v>2022</v>
      </c>
      <c r="B382">
        <v>80205</v>
      </c>
      <c r="C382" t="s">
        <v>77</v>
      </c>
      <c r="D382" t="s">
        <v>106</v>
      </c>
      <c r="E382" t="s">
        <v>15</v>
      </c>
      <c r="F382" t="s">
        <v>16</v>
      </c>
      <c r="G382">
        <v>30.3</v>
      </c>
      <c r="H382" s="1">
        <v>34967</v>
      </c>
      <c r="I382" t="s">
        <v>30</v>
      </c>
      <c r="J382">
        <v>80205</v>
      </c>
      <c r="K382" t="s">
        <v>30</v>
      </c>
      <c r="L382" s="3" t="s">
        <v>23</v>
      </c>
      <c r="M382" cm="1">
        <f t="array" ref="M382">_xlfn.IFS(L381="A", 4, L381="B", 3, L381="C", 2, L381="D", 1)</f>
        <v>1</v>
      </c>
    </row>
    <row r="383" spans="1:13" hidden="1" x14ac:dyDescent="0.2">
      <c r="A383">
        <v>2023</v>
      </c>
      <c r="B383">
        <v>80205</v>
      </c>
      <c r="C383" t="s">
        <v>13</v>
      </c>
      <c r="D383" t="s">
        <v>107</v>
      </c>
      <c r="E383" t="s">
        <v>15</v>
      </c>
      <c r="F383" t="s">
        <v>16</v>
      </c>
      <c r="G383">
        <v>2.1</v>
      </c>
      <c r="H383" s="1">
        <v>34967</v>
      </c>
      <c r="I383" t="s">
        <v>27</v>
      </c>
      <c r="J383">
        <v>80205</v>
      </c>
      <c r="K383" t="s">
        <v>27</v>
      </c>
      <c r="L383" s="3" t="s">
        <v>21</v>
      </c>
      <c r="M383" cm="1">
        <f t="array" ref="M383">_xlfn.IFS(L382="A", 4, L382="B", 3, L382="C", 2, L382="D", 1)</f>
        <v>1</v>
      </c>
    </row>
    <row r="384" spans="1:13" hidden="1" x14ac:dyDescent="0.2">
      <c r="A384">
        <v>2023</v>
      </c>
      <c r="B384">
        <v>80205</v>
      </c>
      <c r="C384" t="s">
        <v>13</v>
      </c>
      <c r="D384" t="s">
        <v>107</v>
      </c>
      <c r="E384" t="s">
        <v>15</v>
      </c>
      <c r="F384" t="s">
        <v>16</v>
      </c>
      <c r="G384">
        <v>2.1</v>
      </c>
      <c r="H384" s="1">
        <v>34967</v>
      </c>
      <c r="I384" t="s">
        <v>28</v>
      </c>
      <c r="J384">
        <v>80205</v>
      </c>
      <c r="K384" t="s">
        <v>28</v>
      </c>
      <c r="L384" s="3" t="s">
        <v>23</v>
      </c>
      <c r="M384" cm="1">
        <f t="array" ref="M384">_xlfn.IFS(L383="A", 4, L383="B", 3, L383="C", 2, L383="D", 1)</f>
        <v>2</v>
      </c>
    </row>
    <row r="385" spans="1:13" hidden="1" x14ac:dyDescent="0.2">
      <c r="A385">
        <v>2023</v>
      </c>
      <c r="B385">
        <v>80205</v>
      </c>
      <c r="C385" t="s">
        <v>13</v>
      </c>
      <c r="D385" t="s">
        <v>107</v>
      </c>
      <c r="E385" t="s">
        <v>15</v>
      </c>
      <c r="F385" t="s">
        <v>16</v>
      </c>
      <c r="G385">
        <v>2.1</v>
      </c>
      <c r="H385" s="1">
        <v>34967</v>
      </c>
      <c r="I385" t="s">
        <v>29</v>
      </c>
      <c r="J385">
        <v>80205</v>
      </c>
      <c r="K385" t="s">
        <v>29</v>
      </c>
      <c r="L385" s="3" t="s">
        <v>23</v>
      </c>
      <c r="M385" cm="1">
        <f t="array" ref="M385">_xlfn.IFS(L384="A", 4, L384="B", 3, L384="C", 2, L384="D", 1)</f>
        <v>1</v>
      </c>
    </row>
    <row r="386" spans="1:13" hidden="1" x14ac:dyDescent="0.2">
      <c r="A386">
        <v>2023</v>
      </c>
      <c r="B386">
        <v>80205</v>
      </c>
      <c r="C386" t="s">
        <v>13</v>
      </c>
      <c r="D386" t="s">
        <v>107</v>
      </c>
      <c r="E386" t="s">
        <v>15</v>
      </c>
      <c r="F386" t="s">
        <v>16</v>
      </c>
      <c r="G386">
        <v>2.1</v>
      </c>
      <c r="H386" s="1">
        <v>34967</v>
      </c>
      <c r="I386" t="s">
        <v>30</v>
      </c>
      <c r="J386">
        <v>80205</v>
      </c>
      <c r="K386" t="s">
        <v>30</v>
      </c>
      <c r="L386" s="3" t="s">
        <v>23</v>
      </c>
      <c r="M386" cm="1">
        <f t="array" ref="M386">_xlfn.IFS(L385="A", 4, L385="B", 3, L385="C", 2, L385="D", 1)</f>
        <v>1</v>
      </c>
    </row>
    <row r="387" spans="1:13" hidden="1" x14ac:dyDescent="0.2">
      <c r="A387">
        <v>2023</v>
      </c>
      <c r="B387">
        <v>80205</v>
      </c>
      <c r="C387" t="s">
        <v>13</v>
      </c>
      <c r="D387" t="s">
        <v>107</v>
      </c>
      <c r="E387" t="s">
        <v>15</v>
      </c>
      <c r="F387" t="s">
        <v>16</v>
      </c>
      <c r="G387">
        <v>2.1</v>
      </c>
      <c r="H387" s="1">
        <v>34967</v>
      </c>
      <c r="I387" t="s">
        <v>30</v>
      </c>
      <c r="J387">
        <v>80205</v>
      </c>
      <c r="K387" t="s">
        <v>30</v>
      </c>
      <c r="L387" s="3" t="s">
        <v>23</v>
      </c>
      <c r="M387" cm="1">
        <f t="array" ref="M387">_xlfn.IFS(L386="A", 4, L386="B", 3, L386="C", 2, L386="D", 1)</f>
        <v>1</v>
      </c>
    </row>
    <row r="388" spans="1:13" hidden="1" x14ac:dyDescent="0.2">
      <c r="A388">
        <v>2022</v>
      </c>
      <c r="B388">
        <v>80205</v>
      </c>
      <c r="C388" t="s">
        <v>13</v>
      </c>
      <c r="D388" t="s">
        <v>108</v>
      </c>
      <c r="E388" t="s">
        <v>15</v>
      </c>
      <c r="F388" t="s">
        <v>16</v>
      </c>
      <c r="G388">
        <v>11</v>
      </c>
      <c r="H388" s="1">
        <v>34967</v>
      </c>
      <c r="I388" t="s">
        <v>27</v>
      </c>
      <c r="J388">
        <v>80205</v>
      </c>
      <c r="K388" t="s">
        <v>27</v>
      </c>
      <c r="L388" s="3" t="s">
        <v>21</v>
      </c>
      <c r="M388" cm="1">
        <f t="array" ref="M388">_xlfn.IFS(L387="A", 4, L387="B", 3, L387="C", 2, L387="D", 1)</f>
        <v>1</v>
      </c>
    </row>
    <row r="389" spans="1:13" hidden="1" x14ac:dyDescent="0.2">
      <c r="A389">
        <v>2022</v>
      </c>
      <c r="B389">
        <v>80205</v>
      </c>
      <c r="C389" t="s">
        <v>13</v>
      </c>
      <c r="D389" t="s">
        <v>108</v>
      </c>
      <c r="E389" t="s">
        <v>15</v>
      </c>
      <c r="F389" t="s">
        <v>16</v>
      </c>
      <c r="G389">
        <v>11</v>
      </c>
      <c r="H389" s="1">
        <v>34967</v>
      </c>
      <c r="I389" t="s">
        <v>28</v>
      </c>
      <c r="J389">
        <v>80205</v>
      </c>
      <c r="K389" t="s">
        <v>28</v>
      </c>
      <c r="L389" s="3" t="s">
        <v>23</v>
      </c>
      <c r="M389" cm="1">
        <f t="array" ref="M389">_xlfn.IFS(L388="A", 4, L388="B", 3, L388="C", 2, L388="D", 1)</f>
        <v>2</v>
      </c>
    </row>
    <row r="390" spans="1:13" hidden="1" x14ac:dyDescent="0.2">
      <c r="A390">
        <v>2022</v>
      </c>
      <c r="B390">
        <v>80205</v>
      </c>
      <c r="C390" t="s">
        <v>13</v>
      </c>
      <c r="D390" t="s">
        <v>108</v>
      </c>
      <c r="E390" t="s">
        <v>15</v>
      </c>
      <c r="F390" t="s">
        <v>16</v>
      </c>
      <c r="G390">
        <v>11</v>
      </c>
      <c r="H390" s="1">
        <v>34967</v>
      </c>
      <c r="I390" t="s">
        <v>29</v>
      </c>
      <c r="J390">
        <v>80205</v>
      </c>
      <c r="K390" t="s">
        <v>29</v>
      </c>
      <c r="L390" s="3" t="s">
        <v>23</v>
      </c>
      <c r="M390" cm="1">
        <f t="array" ref="M390">_xlfn.IFS(L389="A", 4, L389="B", 3, L389="C", 2, L389="D", 1)</f>
        <v>1</v>
      </c>
    </row>
    <row r="391" spans="1:13" hidden="1" x14ac:dyDescent="0.2">
      <c r="A391">
        <v>2022</v>
      </c>
      <c r="B391">
        <v>80205</v>
      </c>
      <c r="C391" t="s">
        <v>13</v>
      </c>
      <c r="D391" t="s">
        <v>108</v>
      </c>
      <c r="E391" t="s">
        <v>15</v>
      </c>
      <c r="F391" t="s">
        <v>16</v>
      </c>
      <c r="G391">
        <v>11</v>
      </c>
      <c r="H391" s="1">
        <v>34967</v>
      </c>
      <c r="I391" t="s">
        <v>30</v>
      </c>
      <c r="J391">
        <v>80205</v>
      </c>
      <c r="K391" t="s">
        <v>30</v>
      </c>
      <c r="L391" s="3" t="s">
        <v>23</v>
      </c>
      <c r="M391" cm="1">
        <f t="array" ref="M391">_xlfn.IFS(L390="A", 4, L390="B", 3, L390="C", 2, L390="D", 1)</f>
        <v>1</v>
      </c>
    </row>
    <row r="392" spans="1:13" hidden="1" x14ac:dyDescent="0.2">
      <c r="A392">
        <v>2022</v>
      </c>
      <c r="B392">
        <v>80205</v>
      </c>
      <c r="C392" t="s">
        <v>13</v>
      </c>
      <c r="D392" t="s">
        <v>108</v>
      </c>
      <c r="E392" t="s">
        <v>15</v>
      </c>
      <c r="F392" t="s">
        <v>16</v>
      </c>
      <c r="G392">
        <v>11</v>
      </c>
      <c r="H392" s="1">
        <v>34967</v>
      </c>
      <c r="I392" t="s">
        <v>30</v>
      </c>
      <c r="J392">
        <v>80205</v>
      </c>
      <c r="K392" t="s">
        <v>30</v>
      </c>
      <c r="L392" s="3" t="s">
        <v>23</v>
      </c>
      <c r="M392" cm="1">
        <f t="array" ref="M392">_xlfn.IFS(L391="A", 4, L391="B", 3, L391="C", 2, L391="D", 1)</f>
        <v>1</v>
      </c>
    </row>
    <row r="393" spans="1:13" hidden="1" x14ac:dyDescent="0.2">
      <c r="A393">
        <v>2023</v>
      </c>
      <c r="B393">
        <v>80205</v>
      </c>
      <c r="C393" t="s">
        <v>86</v>
      </c>
      <c r="D393" t="s">
        <v>109</v>
      </c>
      <c r="E393" t="s">
        <v>15</v>
      </c>
      <c r="F393" t="s">
        <v>16</v>
      </c>
      <c r="G393">
        <v>4.3</v>
      </c>
      <c r="H393" s="1">
        <v>34967</v>
      </c>
      <c r="I393" t="s">
        <v>27</v>
      </c>
      <c r="J393">
        <v>80205</v>
      </c>
      <c r="K393" t="s">
        <v>27</v>
      </c>
      <c r="L393" s="3" t="s">
        <v>21</v>
      </c>
      <c r="M393" cm="1">
        <f t="array" ref="M393">_xlfn.IFS(L392="A", 4, L392="B", 3, L392="C", 2, L392="D", 1)</f>
        <v>1</v>
      </c>
    </row>
    <row r="394" spans="1:13" hidden="1" x14ac:dyDescent="0.2">
      <c r="A394">
        <v>2023</v>
      </c>
      <c r="B394">
        <v>80205</v>
      </c>
      <c r="C394" t="s">
        <v>86</v>
      </c>
      <c r="D394" t="s">
        <v>109</v>
      </c>
      <c r="E394" t="s">
        <v>15</v>
      </c>
      <c r="F394" t="s">
        <v>16</v>
      </c>
      <c r="G394">
        <v>4.3</v>
      </c>
      <c r="H394" s="1">
        <v>34967</v>
      </c>
      <c r="I394" t="s">
        <v>28</v>
      </c>
      <c r="J394">
        <v>80205</v>
      </c>
      <c r="K394" t="s">
        <v>28</v>
      </c>
      <c r="L394" s="3" t="s">
        <v>23</v>
      </c>
      <c r="M394" cm="1">
        <f t="array" ref="M394">_xlfn.IFS(L393="A", 4, L393="B", 3, L393="C", 2, L393="D", 1)</f>
        <v>2</v>
      </c>
    </row>
    <row r="395" spans="1:13" hidden="1" x14ac:dyDescent="0.2">
      <c r="A395">
        <v>2023</v>
      </c>
      <c r="B395">
        <v>80205</v>
      </c>
      <c r="C395" t="s">
        <v>86</v>
      </c>
      <c r="D395" t="s">
        <v>109</v>
      </c>
      <c r="E395" t="s">
        <v>15</v>
      </c>
      <c r="F395" t="s">
        <v>16</v>
      </c>
      <c r="G395">
        <v>4.3</v>
      </c>
      <c r="H395" s="1">
        <v>34967</v>
      </c>
      <c r="I395" t="s">
        <v>29</v>
      </c>
      <c r="J395">
        <v>80205</v>
      </c>
      <c r="K395" t="s">
        <v>29</v>
      </c>
      <c r="L395" s="3" t="s">
        <v>23</v>
      </c>
      <c r="M395" cm="1">
        <f t="array" ref="M395">_xlfn.IFS(L394="A", 4, L394="B", 3, L394="C", 2, L394="D", 1)</f>
        <v>1</v>
      </c>
    </row>
    <row r="396" spans="1:13" hidden="1" x14ac:dyDescent="0.2">
      <c r="A396">
        <v>2023</v>
      </c>
      <c r="B396">
        <v>80205</v>
      </c>
      <c r="C396" t="s">
        <v>86</v>
      </c>
      <c r="D396" t="s">
        <v>109</v>
      </c>
      <c r="E396" t="s">
        <v>15</v>
      </c>
      <c r="F396" t="s">
        <v>16</v>
      </c>
      <c r="G396">
        <v>4.3</v>
      </c>
      <c r="H396" s="1">
        <v>34967</v>
      </c>
      <c r="I396" t="s">
        <v>30</v>
      </c>
      <c r="J396">
        <v>80205</v>
      </c>
      <c r="K396" t="s">
        <v>30</v>
      </c>
      <c r="L396" s="3" t="s">
        <v>23</v>
      </c>
      <c r="M396" cm="1">
        <f t="array" ref="M396">_xlfn.IFS(L395="A", 4, L395="B", 3, L395="C", 2, L395="D", 1)</f>
        <v>1</v>
      </c>
    </row>
    <row r="397" spans="1:13" hidden="1" x14ac:dyDescent="0.2">
      <c r="A397">
        <v>2023</v>
      </c>
      <c r="B397">
        <v>80205</v>
      </c>
      <c r="C397" t="s">
        <v>86</v>
      </c>
      <c r="D397" t="s">
        <v>109</v>
      </c>
      <c r="E397" t="s">
        <v>15</v>
      </c>
      <c r="F397" t="s">
        <v>16</v>
      </c>
      <c r="G397">
        <v>4.3</v>
      </c>
      <c r="H397" s="1">
        <v>34967</v>
      </c>
      <c r="I397" t="s">
        <v>30</v>
      </c>
      <c r="J397">
        <v>80205</v>
      </c>
      <c r="K397" t="s">
        <v>30</v>
      </c>
      <c r="L397" s="3" t="s">
        <v>23</v>
      </c>
      <c r="M397" cm="1">
        <f t="array" ref="M397">_xlfn.IFS(L396="A", 4, L396="B", 3, L396="C", 2, L396="D", 1)</f>
        <v>1</v>
      </c>
    </row>
    <row r="398" spans="1:13" hidden="1" x14ac:dyDescent="0.2">
      <c r="A398">
        <v>2023</v>
      </c>
      <c r="B398">
        <v>80206</v>
      </c>
      <c r="C398" t="s">
        <v>74</v>
      </c>
      <c r="D398" t="s">
        <v>75</v>
      </c>
      <c r="E398" t="s">
        <v>15</v>
      </c>
      <c r="F398" t="s">
        <v>16</v>
      </c>
      <c r="G398">
        <v>7.4</v>
      </c>
      <c r="H398" s="1">
        <v>26108</v>
      </c>
      <c r="I398" t="s">
        <v>27</v>
      </c>
      <c r="J398">
        <v>80206</v>
      </c>
      <c r="K398" t="s">
        <v>27</v>
      </c>
      <c r="L398" s="3" t="s">
        <v>21</v>
      </c>
      <c r="M398" cm="1">
        <f t="array" ref="M398">_xlfn.IFS(L397="A", 4, L397="B", 3, L397="C", 2, L397="D", 1)</f>
        <v>1</v>
      </c>
    </row>
    <row r="399" spans="1:13" hidden="1" x14ac:dyDescent="0.2">
      <c r="A399">
        <v>2023</v>
      </c>
      <c r="B399">
        <v>80206</v>
      </c>
      <c r="C399" t="s">
        <v>74</v>
      </c>
      <c r="D399" t="s">
        <v>75</v>
      </c>
      <c r="E399" t="s">
        <v>15</v>
      </c>
      <c r="F399" t="s">
        <v>16</v>
      </c>
      <c r="G399">
        <v>7.4</v>
      </c>
      <c r="H399" s="1">
        <v>26108</v>
      </c>
      <c r="I399" t="s">
        <v>31</v>
      </c>
      <c r="J399">
        <v>80206</v>
      </c>
      <c r="K399" t="s">
        <v>31</v>
      </c>
      <c r="L399" s="3" t="s">
        <v>18</v>
      </c>
      <c r="M399" cm="1">
        <f t="array" ref="M399">_xlfn.IFS(L398="A", 4, L398="B", 3, L398="C", 2, L398="D", 1)</f>
        <v>2</v>
      </c>
    </row>
    <row r="400" spans="1:13" hidden="1" x14ac:dyDescent="0.2">
      <c r="A400">
        <v>2023</v>
      </c>
      <c r="B400">
        <v>80206</v>
      </c>
      <c r="C400" t="s">
        <v>74</v>
      </c>
      <c r="D400" t="s">
        <v>75</v>
      </c>
      <c r="E400" t="s">
        <v>15</v>
      </c>
      <c r="F400" t="s">
        <v>16</v>
      </c>
      <c r="G400">
        <v>7.4</v>
      </c>
      <c r="H400" s="1">
        <v>26108</v>
      </c>
      <c r="I400" t="s">
        <v>32</v>
      </c>
      <c r="J400">
        <v>80206</v>
      </c>
      <c r="K400" t="s">
        <v>32</v>
      </c>
      <c r="L400" s="3" t="s">
        <v>23</v>
      </c>
      <c r="M400" cm="1">
        <f t="array" ref="M400">_xlfn.IFS(L399="A", 4, L399="B", 3, L399="C", 2, L399="D", 1)</f>
        <v>4</v>
      </c>
    </row>
    <row r="401" spans="1:13" hidden="1" x14ac:dyDescent="0.2">
      <c r="A401">
        <v>2023</v>
      </c>
      <c r="B401">
        <v>80206</v>
      </c>
      <c r="C401" t="s">
        <v>74</v>
      </c>
      <c r="D401" t="s">
        <v>75</v>
      </c>
      <c r="E401" t="s">
        <v>15</v>
      </c>
      <c r="F401" t="s">
        <v>16</v>
      </c>
      <c r="G401">
        <v>7.4</v>
      </c>
      <c r="H401" s="1">
        <v>26108</v>
      </c>
      <c r="I401" t="s">
        <v>33</v>
      </c>
      <c r="J401">
        <v>80206</v>
      </c>
      <c r="K401" t="s">
        <v>33</v>
      </c>
      <c r="L401" s="3" t="s">
        <v>21</v>
      </c>
      <c r="M401" cm="1">
        <f t="array" ref="M401">_xlfn.IFS(L400="A", 4, L400="B", 3, L400="C", 2, L400="D", 1)</f>
        <v>1</v>
      </c>
    </row>
    <row r="402" spans="1:13" hidden="1" x14ac:dyDescent="0.2">
      <c r="A402">
        <v>2023</v>
      </c>
      <c r="B402">
        <v>80206</v>
      </c>
      <c r="C402" t="s">
        <v>13</v>
      </c>
      <c r="D402" t="s">
        <v>76</v>
      </c>
      <c r="E402" t="s">
        <v>15</v>
      </c>
      <c r="F402" t="s">
        <v>16</v>
      </c>
      <c r="G402">
        <v>18.600000000000001</v>
      </c>
      <c r="H402" s="1">
        <v>26108</v>
      </c>
      <c r="I402" t="s">
        <v>27</v>
      </c>
      <c r="J402">
        <v>80206</v>
      </c>
      <c r="K402" t="s">
        <v>27</v>
      </c>
      <c r="L402" s="3" t="s">
        <v>21</v>
      </c>
      <c r="M402" cm="1">
        <f t="array" ref="M402">_xlfn.IFS(L401="A", 4, L401="B", 3, L401="C", 2, L401="D", 1)</f>
        <v>2</v>
      </c>
    </row>
    <row r="403" spans="1:13" hidden="1" x14ac:dyDescent="0.2">
      <c r="A403">
        <v>2023</v>
      </c>
      <c r="B403">
        <v>80206</v>
      </c>
      <c r="C403" t="s">
        <v>13</v>
      </c>
      <c r="D403" t="s">
        <v>76</v>
      </c>
      <c r="E403" t="s">
        <v>15</v>
      </c>
      <c r="F403" t="s">
        <v>16</v>
      </c>
      <c r="G403">
        <v>18.600000000000001</v>
      </c>
      <c r="H403" s="1">
        <v>26108</v>
      </c>
      <c r="I403" t="s">
        <v>31</v>
      </c>
      <c r="J403">
        <v>80206</v>
      </c>
      <c r="K403" t="s">
        <v>31</v>
      </c>
      <c r="L403" s="3" t="s">
        <v>18</v>
      </c>
      <c r="M403" cm="1">
        <f t="array" ref="M403">_xlfn.IFS(L402="A", 4, L402="B", 3, L402="C", 2, L402="D", 1)</f>
        <v>2</v>
      </c>
    </row>
    <row r="404" spans="1:13" hidden="1" x14ac:dyDescent="0.2">
      <c r="A404">
        <v>2023</v>
      </c>
      <c r="B404">
        <v>80206</v>
      </c>
      <c r="C404" t="s">
        <v>13</v>
      </c>
      <c r="D404" t="s">
        <v>76</v>
      </c>
      <c r="E404" t="s">
        <v>15</v>
      </c>
      <c r="F404" t="s">
        <v>16</v>
      </c>
      <c r="G404">
        <v>18.600000000000001</v>
      </c>
      <c r="H404" s="1">
        <v>26108</v>
      </c>
      <c r="I404" t="s">
        <v>32</v>
      </c>
      <c r="J404">
        <v>80206</v>
      </c>
      <c r="K404" t="s">
        <v>32</v>
      </c>
      <c r="L404" s="3" t="s">
        <v>23</v>
      </c>
      <c r="M404" cm="1">
        <f t="array" ref="M404">_xlfn.IFS(L403="A", 4, L403="B", 3, L403="C", 2, L403="D", 1)</f>
        <v>4</v>
      </c>
    </row>
    <row r="405" spans="1:13" hidden="1" x14ac:dyDescent="0.2">
      <c r="A405">
        <v>2023</v>
      </c>
      <c r="B405">
        <v>80206</v>
      </c>
      <c r="C405" t="s">
        <v>13</v>
      </c>
      <c r="D405" t="s">
        <v>76</v>
      </c>
      <c r="E405" t="s">
        <v>15</v>
      </c>
      <c r="F405" t="s">
        <v>16</v>
      </c>
      <c r="G405">
        <v>18.600000000000001</v>
      </c>
      <c r="H405" s="1">
        <v>26108</v>
      </c>
      <c r="I405" t="s">
        <v>33</v>
      </c>
      <c r="J405">
        <v>80206</v>
      </c>
      <c r="K405" t="s">
        <v>33</v>
      </c>
      <c r="L405" s="3" t="s">
        <v>21</v>
      </c>
      <c r="M405" cm="1">
        <f t="array" ref="M405">_xlfn.IFS(L404="A", 4, L404="B", 3, L404="C", 2, L404="D", 1)</f>
        <v>1</v>
      </c>
    </row>
    <row r="406" spans="1:13" hidden="1" x14ac:dyDescent="0.2">
      <c r="A406">
        <v>2023</v>
      </c>
      <c r="B406">
        <v>80206</v>
      </c>
      <c r="C406" t="s">
        <v>77</v>
      </c>
      <c r="D406" t="s">
        <v>78</v>
      </c>
      <c r="E406" t="s">
        <v>15</v>
      </c>
      <c r="F406" t="s">
        <v>16</v>
      </c>
      <c r="G406">
        <v>26.9</v>
      </c>
      <c r="H406" s="1">
        <v>26108</v>
      </c>
      <c r="I406" t="s">
        <v>27</v>
      </c>
      <c r="J406">
        <v>80206</v>
      </c>
      <c r="K406" t="s">
        <v>27</v>
      </c>
      <c r="L406" s="3" t="s">
        <v>21</v>
      </c>
      <c r="M406" cm="1">
        <f t="array" ref="M406">_xlfn.IFS(L405="A", 4, L405="B", 3, L405="C", 2, L405="D", 1)</f>
        <v>2</v>
      </c>
    </row>
    <row r="407" spans="1:13" hidden="1" x14ac:dyDescent="0.2">
      <c r="A407">
        <v>2023</v>
      </c>
      <c r="B407">
        <v>80206</v>
      </c>
      <c r="C407" t="s">
        <v>77</v>
      </c>
      <c r="D407" t="s">
        <v>78</v>
      </c>
      <c r="E407" t="s">
        <v>15</v>
      </c>
      <c r="F407" t="s">
        <v>16</v>
      </c>
      <c r="G407">
        <v>26.9</v>
      </c>
      <c r="H407" s="1">
        <v>26108</v>
      </c>
      <c r="I407" t="s">
        <v>31</v>
      </c>
      <c r="J407">
        <v>80206</v>
      </c>
      <c r="K407" t="s">
        <v>31</v>
      </c>
      <c r="L407" s="3" t="s">
        <v>18</v>
      </c>
      <c r="M407" cm="1">
        <f t="array" ref="M407">_xlfn.IFS(L406="A", 4, L406="B", 3, L406="C", 2, L406="D", 1)</f>
        <v>2</v>
      </c>
    </row>
    <row r="408" spans="1:13" hidden="1" x14ac:dyDescent="0.2">
      <c r="A408">
        <v>2023</v>
      </c>
      <c r="B408">
        <v>80206</v>
      </c>
      <c r="C408" t="s">
        <v>77</v>
      </c>
      <c r="D408" t="s">
        <v>78</v>
      </c>
      <c r="E408" t="s">
        <v>15</v>
      </c>
      <c r="F408" t="s">
        <v>16</v>
      </c>
      <c r="G408">
        <v>26.9</v>
      </c>
      <c r="H408" s="1">
        <v>26108</v>
      </c>
      <c r="I408" t="s">
        <v>32</v>
      </c>
      <c r="J408">
        <v>80206</v>
      </c>
      <c r="K408" t="s">
        <v>32</v>
      </c>
      <c r="L408" s="3" t="s">
        <v>23</v>
      </c>
      <c r="M408" cm="1">
        <f t="array" ref="M408">_xlfn.IFS(L407="A", 4, L407="B", 3, L407="C", 2, L407="D", 1)</f>
        <v>4</v>
      </c>
    </row>
    <row r="409" spans="1:13" hidden="1" x14ac:dyDescent="0.2">
      <c r="A409">
        <v>2023</v>
      </c>
      <c r="B409">
        <v>80206</v>
      </c>
      <c r="C409" t="s">
        <v>77</v>
      </c>
      <c r="D409" t="s">
        <v>78</v>
      </c>
      <c r="E409" t="s">
        <v>15</v>
      </c>
      <c r="F409" t="s">
        <v>16</v>
      </c>
      <c r="G409">
        <v>26.9</v>
      </c>
      <c r="H409" s="1">
        <v>26108</v>
      </c>
      <c r="I409" t="s">
        <v>33</v>
      </c>
      <c r="J409">
        <v>80206</v>
      </c>
      <c r="K409" t="s">
        <v>33</v>
      </c>
      <c r="L409" s="3" t="s">
        <v>21</v>
      </c>
      <c r="M409" cm="1">
        <f t="array" ref="M409">_xlfn.IFS(L408="A", 4, L408="B", 3, L408="C", 2, L408="D", 1)</f>
        <v>1</v>
      </c>
    </row>
    <row r="410" spans="1:13" hidden="1" x14ac:dyDescent="0.2">
      <c r="A410">
        <v>2023</v>
      </c>
      <c r="B410">
        <v>80206</v>
      </c>
      <c r="C410" t="s">
        <v>13</v>
      </c>
      <c r="D410" t="s">
        <v>79</v>
      </c>
      <c r="E410" t="s">
        <v>15</v>
      </c>
      <c r="F410" t="s">
        <v>16</v>
      </c>
      <c r="G410">
        <v>20.399999999999999</v>
      </c>
      <c r="H410" s="1">
        <v>26108</v>
      </c>
      <c r="I410" t="s">
        <v>27</v>
      </c>
      <c r="J410">
        <v>80206</v>
      </c>
      <c r="K410" t="s">
        <v>27</v>
      </c>
      <c r="L410" s="3" t="s">
        <v>21</v>
      </c>
      <c r="M410" cm="1">
        <f t="array" ref="M410">_xlfn.IFS(L409="A", 4, L409="B", 3, L409="C", 2, L409="D", 1)</f>
        <v>2</v>
      </c>
    </row>
    <row r="411" spans="1:13" hidden="1" x14ac:dyDescent="0.2">
      <c r="A411">
        <v>2023</v>
      </c>
      <c r="B411">
        <v>80206</v>
      </c>
      <c r="C411" t="s">
        <v>13</v>
      </c>
      <c r="D411" t="s">
        <v>79</v>
      </c>
      <c r="E411" t="s">
        <v>15</v>
      </c>
      <c r="F411" t="s">
        <v>16</v>
      </c>
      <c r="G411">
        <v>20.399999999999999</v>
      </c>
      <c r="H411" s="1">
        <v>26108</v>
      </c>
      <c r="I411" t="s">
        <v>31</v>
      </c>
      <c r="J411">
        <v>80206</v>
      </c>
      <c r="K411" t="s">
        <v>31</v>
      </c>
      <c r="L411" s="3" t="s">
        <v>18</v>
      </c>
      <c r="M411" cm="1">
        <f t="array" ref="M411">_xlfn.IFS(L410="A", 4, L410="B", 3, L410="C", 2, L410="D", 1)</f>
        <v>2</v>
      </c>
    </row>
    <row r="412" spans="1:13" hidden="1" x14ac:dyDescent="0.2">
      <c r="A412">
        <v>2023</v>
      </c>
      <c r="B412">
        <v>80206</v>
      </c>
      <c r="C412" t="s">
        <v>13</v>
      </c>
      <c r="D412" t="s">
        <v>79</v>
      </c>
      <c r="E412" t="s">
        <v>15</v>
      </c>
      <c r="F412" t="s">
        <v>16</v>
      </c>
      <c r="G412">
        <v>20.399999999999999</v>
      </c>
      <c r="H412" s="1">
        <v>26108</v>
      </c>
      <c r="I412" t="s">
        <v>32</v>
      </c>
      <c r="J412">
        <v>80206</v>
      </c>
      <c r="K412" t="s">
        <v>32</v>
      </c>
      <c r="L412" s="3" t="s">
        <v>23</v>
      </c>
      <c r="M412" cm="1">
        <f t="array" ref="M412">_xlfn.IFS(L411="A", 4, L411="B", 3, L411="C", 2, L411="D", 1)</f>
        <v>4</v>
      </c>
    </row>
    <row r="413" spans="1:13" hidden="1" x14ac:dyDescent="0.2">
      <c r="A413">
        <v>2023</v>
      </c>
      <c r="B413">
        <v>80206</v>
      </c>
      <c r="C413" t="s">
        <v>13</v>
      </c>
      <c r="D413" t="s">
        <v>79</v>
      </c>
      <c r="E413" t="s">
        <v>15</v>
      </c>
      <c r="F413" t="s">
        <v>16</v>
      </c>
      <c r="G413">
        <v>20.399999999999999</v>
      </c>
      <c r="H413" s="1">
        <v>26108</v>
      </c>
      <c r="I413" t="s">
        <v>33</v>
      </c>
      <c r="J413">
        <v>80206</v>
      </c>
      <c r="K413" t="s">
        <v>33</v>
      </c>
      <c r="L413" s="3" t="s">
        <v>21</v>
      </c>
      <c r="M413" cm="1">
        <f t="array" ref="M413">_xlfn.IFS(L412="A", 4, L412="B", 3, L412="C", 2, L412="D", 1)</f>
        <v>1</v>
      </c>
    </row>
    <row r="414" spans="1:13" hidden="1" x14ac:dyDescent="0.2">
      <c r="A414">
        <v>2023</v>
      </c>
      <c r="B414">
        <v>80206</v>
      </c>
      <c r="C414" t="s">
        <v>74</v>
      </c>
      <c r="D414" t="s">
        <v>80</v>
      </c>
      <c r="E414" t="s">
        <v>15</v>
      </c>
      <c r="F414" t="s">
        <v>16</v>
      </c>
      <c r="G414">
        <v>65.900000000000006</v>
      </c>
      <c r="H414" s="1">
        <v>26108</v>
      </c>
      <c r="I414" t="s">
        <v>27</v>
      </c>
      <c r="J414">
        <v>80206</v>
      </c>
      <c r="K414" t="s">
        <v>27</v>
      </c>
      <c r="L414" s="3" t="s">
        <v>21</v>
      </c>
      <c r="M414" cm="1">
        <f t="array" ref="M414">_xlfn.IFS(L413="A", 4, L413="B", 3, L413="C", 2, L413="D", 1)</f>
        <v>2</v>
      </c>
    </row>
    <row r="415" spans="1:13" hidden="1" x14ac:dyDescent="0.2">
      <c r="A415">
        <v>2023</v>
      </c>
      <c r="B415">
        <v>80206</v>
      </c>
      <c r="C415" t="s">
        <v>74</v>
      </c>
      <c r="D415" t="s">
        <v>80</v>
      </c>
      <c r="E415" t="s">
        <v>15</v>
      </c>
      <c r="F415" t="s">
        <v>16</v>
      </c>
      <c r="G415">
        <v>65.900000000000006</v>
      </c>
      <c r="H415" s="1">
        <v>26108</v>
      </c>
      <c r="I415" t="s">
        <v>31</v>
      </c>
      <c r="J415">
        <v>80206</v>
      </c>
      <c r="K415" t="s">
        <v>31</v>
      </c>
      <c r="L415" s="3" t="s">
        <v>18</v>
      </c>
      <c r="M415" cm="1">
        <f t="array" ref="M415">_xlfn.IFS(L414="A", 4, L414="B", 3, L414="C", 2, L414="D", 1)</f>
        <v>2</v>
      </c>
    </row>
    <row r="416" spans="1:13" hidden="1" x14ac:dyDescent="0.2">
      <c r="A416">
        <v>2023</v>
      </c>
      <c r="B416">
        <v>80206</v>
      </c>
      <c r="C416" t="s">
        <v>74</v>
      </c>
      <c r="D416" t="s">
        <v>80</v>
      </c>
      <c r="E416" t="s">
        <v>15</v>
      </c>
      <c r="F416" t="s">
        <v>16</v>
      </c>
      <c r="G416">
        <v>65.900000000000006</v>
      </c>
      <c r="H416" s="1">
        <v>26108</v>
      </c>
      <c r="I416" t="s">
        <v>32</v>
      </c>
      <c r="J416">
        <v>80206</v>
      </c>
      <c r="K416" t="s">
        <v>32</v>
      </c>
      <c r="L416" s="3" t="s">
        <v>23</v>
      </c>
      <c r="M416" cm="1">
        <f t="array" ref="M416">_xlfn.IFS(L415="A", 4, L415="B", 3, L415="C", 2, L415="D", 1)</f>
        <v>4</v>
      </c>
    </row>
    <row r="417" spans="1:13" hidden="1" x14ac:dyDescent="0.2">
      <c r="A417">
        <v>2023</v>
      </c>
      <c r="B417">
        <v>80206</v>
      </c>
      <c r="C417" t="s">
        <v>74</v>
      </c>
      <c r="D417" t="s">
        <v>80</v>
      </c>
      <c r="E417" t="s">
        <v>15</v>
      </c>
      <c r="F417" t="s">
        <v>16</v>
      </c>
      <c r="G417">
        <v>65.900000000000006</v>
      </c>
      <c r="H417" s="1">
        <v>26108</v>
      </c>
      <c r="I417" t="s">
        <v>33</v>
      </c>
      <c r="J417">
        <v>80206</v>
      </c>
      <c r="K417" t="s">
        <v>33</v>
      </c>
      <c r="L417" s="3" t="s">
        <v>21</v>
      </c>
      <c r="M417" cm="1">
        <f t="array" ref="M417">_xlfn.IFS(L416="A", 4, L416="B", 3, L416="C", 2, L416="D", 1)</f>
        <v>1</v>
      </c>
    </row>
    <row r="418" spans="1:13" hidden="1" x14ac:dyDescent="0.2">
      <c r="A418">
        <v>2023</v>
      </c>
      <c r="B418">
        <v>80206</v>
      </c>
      <c r="C418" t="s">
        <v>13</v>
      </c>
      <c r="D418" t="s">
        <v>81</v>
      </c>
      <c r="E418" t="s">
        <v>15</v>
      </c>
      <c r="F418" t="s">
        <v>16</v>
      </c>
      <c r="G418">
        <v>7.2</v>
      </c>
      <c r="H418" s="1">
        <v>26108</v>
      </c>
      <c r="I418" t="s">
        <v>27</v>
      </c>
      <c r="J418">
        <v>80206</v>
      </c>
      <c r="K418" t="s">
        <v>27</v>
      </c>
      <c r="L418" s="3" t="s">
        <v>21</v>
      </c>
      <c r="M418" cm="1">
        <f t="array" ref="M418">_xlfn.IFS(L417="A", 4, L417="B", 3, L417="C", 2, L417="D", 1)</f>
        <v>2</v>
      </c>
    </row>
    <row r="419" spans="1:13" hidden="1" x14ac:dyDescent="0.2">
      <c r="A419">
        <v>2023</v>
      </c>
      <c r="B419">
        <v>80206</v>
      </c>
      <c r="C419" t="s">
        <v>13</v>
      </c>
      <c r="D419" t="s">
        <v>81</v>
      </c>
      <c r="E419" t="s">
        <v>15</v>
      </c>
      <c r="F419" t="s">
        <v>16</v>
      </c>
      <c r="G419">
        <v>7.2</v>
      </c>
      <c r="H419" s="1">
        <v>26108</v>
      </c>
      <c r="I419" t="s">
        <v>31</v>
      </c>
      <c r="J419">
        <v>80206</v>
      </c>
      <c r="K419" t="s">
        <v>31</v>
      </c>
      <c r="L419" s="3" t="s">
        <v>18</v>
      </c>
      <c r="M419" cm="1">
        <f t="array" ref="M419">_xlfn.IFS(L418="A", 4, L418="B", 3, L418="C", 2, L418="D", 1)</f>
        <v>2</v>
      </c>
    </row>
    <row r="420" spans="1:13" hidden="1" x14ac:dyDescent="0.2">
      <c r="A420">
        <v>2023</v>
      </c>
      <c r="B420">
        <v>80206</v>
      </c>
      <c r="C420" t="s">
        <v>13</v>
      </c>
      <c r="D420" t="s">
        <v>81</v>
      </c>
      <c r="E420" t="s">
        <v>15</v>
      </c>
      <c r="F420" t="s">
        <v>16</v>
      </c>
      <c r="G420">
        <v>7.2</v>
      </c>
      <c r="H420" s="1">
        <v>26108</v>
      </c>
      <c r="I420" t="s">
        <v>32</v>
      </c>
      <c r="J420">
        <v>80206</v>
      </c>
      <c r="K420" t="s">
        <v>32</v>
      </c>
      <c r="L420" s="3" t="s">
        <v>23</v>
      </c>
      <c r="M420" cm="1">
        <f t="array" ref="M420">_xlfn.IFS(L419="A", 4, L419="B", 3, L419="C", 2, L419="D", 1)</f>
        <v>4</v>
      </c>
    </row>
    <row r="421" spans="1:13" hidden="1" x14ac:dyDescent="0.2">
      <c r="A421">
        <v>2023</v>
      </c>
      <c r="B421">
        <v>80206</v>
      </c>
      <c r="C421" t="s">
        <v>13</v>
      </c>
      <c r="D421" t="s">
        <v>81</v>
      </c>
      <c r="E421" t="s">
        <v>15</v>
      </c>
      <c r="F421" t="s">
        <v>16</v>
      </c>
      <c r="G421">
        <v>7.2</v>
      </c>
      <c r="H421" s="1">
        <v>26108</v>
      </c>
      <c r="I421" t="s">
        <v>33</v>
      </c>
      <c r="J421">
        <v>80206</v>
      </c>
      <c r="K421" t="s">
        <v>33</v>
      </c>
      <c r="L421" s="3" t="s">
        <v>21</v>
      </c>
      <c r="M421" cm="1">
        <f t="array" ref="M421">_xlfn.IFS(L420="A", 4, L420="B", 3, L420="C", 2, L420="D", 1)</f>
        <v>1</v>
      </c>
    </row>
    <row r="422" spans="1:13" hidden="1" x14ac:dyDescent="0.2">
      <c r="A422">
        <v>2023</v>
      </c>
      <c r="B422">
        <v>80206</v>
      </c>
      <c r="C422" t="s">
        <v>13</v>
      </c>
      <c r="D422" t="s">
        <v>82</v>
      </c>
      <c r="E422" t="s">
        <v>15</v>
      </c>
      <c r="F422" t="s">
        <v>16</v>
      </c>
      <c r="G422">
        <v>10.3</v>
      </c>
      <c r="H422" s="1">
        <v>26108</v>
      </c>
      <c r="I422" t="s">
        <v>27</v>
      </c>
      <c r="J422">
        <v>80206</v>
      </c>
      <c r="K422" t="s">
        <v>27</v>
      </c>
      <c r="L422" s="3" t="s">
        <v>21</v>
      </c>
      <c r="M422" cm="1">
        <f t="array" ref="M422">_xlfn.IFS(L421="A", 4, L421="B", 3, L421="C", 2, L421="D", 1)</f>
        <v>2</v>
      </c>
    </row>
    <row r="423" spans="1:13" hidden="1" x14ac:dyDescent="0.2">
      <c r="A423">
        <v>2023</v>
      </c>
      <c r="B423">
        <v>80206</v>
      </c>
      <c r="C423" t="s">
        <v>13</v>
      </c>
      <c r="D423" t="s">
        <v>82</v>
      </c>
      <c r="E423" t="s">
        <v>15</v>
      </c>
      <c r="F423" t="s">
        <v>16</v>
      </c>
      <c r="G423">
        <v>10.3</v>
      </c>
      <c r="H423" s="1">
        <v>26108</v>
      </c>
      <c r="I423" t="s">
        <v>31</v>
      </c>
      <c r="J423">
        <v>80206</v>
      </c>
      <c r="K423" t="s">
        <v>31</v>
      </c>
      <c r="L423" s="3" t="s">
        <v>18</v>
      </c>
      <c r="M423" cm="1">
        <f t="array" ref="M423">_xlfn.IFS(L422="A", 4, L422="B", 3, L422="C", 2, L422="D", 1)</f>
        <v>2</v>
      </c>
    </row>
    <row r="424" spans="1:13" hidden="1" x14ac:dyDescent="0.2">
      <c r="A424">
        <v>2023</v>
      </c>
      <c r="B424">
        <v>80206</v>
      </c>
      <c r="C424" t="s">
        <v>13</v>
      </c>
      <c r="D424" t="s">
        <v>82</v>
      </c>
      <c r="E424" t="s">
        <v>15</v>
      </c>
      <c r="F424" t="s">
        <v>16</v>
      </c>
      <c r="G424">
        <v>10.3</v>
      </c>
      <c r="H424" s="1">
        <v>26108</v>
      </c>
      <c r="I424" t="s">
        <v>32</v>
      </c>
      <c r="J424">
        <v>80206</v>
      </c>
      <c r="K424" t="s">
        <v>32</v>
      </c>
      <c r="L424" s="3" t="s">
        <v>23</v>
      </c>
      <c r="M424" cm="1">
        <f t="array" ref="M424">_xlfn.IFS(L423="A", 4, L423="B", 3, L423="C", 2, L423="D", 1)</f>
        <v>4</v>
      </c>
    </row>
    <row r="425" spans="1:13" hidden="1" x14ac:dyDescent="0.2">
      <c r="A425">
        <v>2023</v>
      </c>
      <c r="B425">
        <v>80206</v>
      </c>
      <c r="C425" t="s">
        <v>13</v>
      </c>
      <c r="D425" t="s">
        <v>82</v>
      </c>
      <c r="E425" t="s">
        <v>15</v>
      </c>
      <c r="F425" t="s">
        <v>16</v>
      </c>
      <c r="G425">
        <v>10.3</v>
      </c>
      <c r="H425" s="1">
        <v>26108</v>
      </c>
      <c r="I425" t="s">
        <v>33</v>
      </c>
      <c r="J425">
        <v>80206</v>
      </c>
      <c r="K425" t="s">
        <v>33</v>
      </c>
      <c r="L425" s="3" t="s">
        <v>21</v>
      </c>
      <c r="M425" cm="1">
        <f t="array" ref="M425">_xlfn.IFS(L424="A", 4, L424="B", 3, L424="C", 2, L424="D", 1)</f>
        <v>1</v>
      </c>
    </row>
    <row r="426" spans="1:13" hidden="1" x14ac:dyDescent="0.2">
      <c r="A426">
        <v>2023</v>
      </c>
      <c r="B426">
        <v>80206</v>
      </c>
      <c r="C426" t="s">
        <v>13</v>
      </c>
      <c r="D426" t="s">
        <v>83</v>
      </c>
      <c r="E426" t="s">
        <v>15</v>
      </c>
      <c r="F426" t="s">
        <v>16</v>
      </c>
      <c r="G426">
        <v>3.8</v>
      </c>
      <c r="H426" s="1">
        <v>26108</v>
      </c>
      <c r="I426" t="s">
        <v>27</v>
      </c>
      <c r="J426">
        <v>80206</v>
      </c>
      <c r="K426" t="s">
        <v>27</v>
      </c>
      <c r="L426" s="3" t="s">
        <v>21</v>
      </c>
      <c r="M426" cm="1">
        <f t="array" ref="M426">_xlfn.IFS(L425="A", 4, L425="B", 3, L425="C", 2, L425="D", 1)</f>
        <v>2</v>
      </c>
    </row>
    <row r="427" spans="1:13" hidden="1" x14ac:dyDescent="0.2">
      <c r="A427">
        <v>2023</v>
      </c>
      <c r="B427">
        <v>80206</v>
      </c>
      <c r="C427" t="s">
        <v>13</v>
      </c>
      <c r="D427" t="s">
        <v>83</v>
      </c>
      <c r="E427" t="s">
        <v>15</v>
      </c>
      <c r="F427" t="s">
        <v>16</v>
      </c>
      <c r="G427">
        <v>3.8</v>
      </c>
      <c r="H427" s="1">
        <v>26108</v>
      </c>
      <c r="I427" t="s">
        <v>31</v>
      </c>
      <c r="J427">
        <v>80206</v>
      </c>
      <c r="K427" t="s">
        <v>31</v>
      </c>
      <c r="L427" s="3" t="s">
        <v>18</v>
      </c>
      <c r="M427" cm="1">
        <f t="array" ref="M427">_xlfn.IFS(L426="A", 4, L426="B", 3, L426="C", 2, L426="D", 1)</f>
        <v>2</v>
      </c>
    </row>
    <row r="428" spans="1:13" hidden="1" x14ac:dyDescent="0.2">
      <c r="A428">
        <v>2023</v>
      </c>
      <c r="B428">
        <v>80206</v>
      </c>
      <c r="C428" t="s">
        <v>13</v>
      </c>
      <c r="D428" t="s">
        <v>83</v>
      </c>
      <c r="E428" t="s">
        <v>15</v>
      </c>
      <c r="F428" t="s">
        <v>16</v>
      </c>
      <c r="G428">
        <v>3.8</v>
      </c>
      <c r="H428" s="1">
        <v>26108</v>
      </c>
      <c r="I428" t="s">
        <v>32</v>
      </c>
      <c r="J428">
        <v>80206</v>
      </c>
      <c r="K428" t="s">
        <v>32</v>
      </c>
      <c r="L428" s="3" t="s">
        <v>23</v>
      </c>
      <c r="M428" cm="1">
        <f t="array" ref="M428">_xlfn.IFS(L427="A", 4, L427="B", 3, L427="C", 2, L427="D", 1)</f>
        <v>4</v>
      </c>
    </row>
    <row r="429" spans="1:13" hidden="1" x14ac:dyDescent="0.2">
      <c r="A429">
        <v>2023</v>
      </c>
      <c r="B429">
        <v>80206</v>
      </c>
      <c r="C429" t="s">
        <v>13</v>
      </c>
      <c r="D429" t="s">
        <v>83</v>
      </c>
      <c r="E429" t="s">
        <v>15</v>
      </c>
      <c r="F429" t="s">
        <v>16</v>
      </c>
      <c r="G429">
        <v>3.8</v>
      </c>
      <c r="H429" s="1">
        <v>26108</v>
      </c>
      <c r="I429" t="s">
        <v>33</v>
      </c>
      <c r="J429">
        <v>80206</v>
      </c>
      <c r="K429" t="s">
        <v>33</v>
      </c>
      <c r="L429" s="3" t="s">
        <v>21</v>
      </c>
      <c r="M429" cm="1">
        <f t="array" ref="M429">_xlfn.IFS(L428="A", 4, L428="B", 3, L428="C", 2, L428="D", 1)</f>
        <v>1</v>
      </c>
    </row>
    <row r="430" spans="1:13" x14ac:dyDescent="0.2">
      <c r="A430">
        <v>2023</v>
      </c>
      <c r="B430">
        <v>80206</v>
      </c>
      <c r="C430" t="s">
        <v>74</v>
      </c>
      <c r="D430" t="s">
        <v>84</v>
      </c>
      <c r="E430" t="s">
        <v>15</v>
      </c>
      <c r="F430" t="s">
        <v>16</v>
      </c>
      <c r="G430">
        <v>70.7</v>
      </c>
      <c r="H430" s="1">
        <v>26108</v>
      </c>
      <c r="I430" t="s">
        <v>27</v>
      </c>
      <c r="J430">
        <v>80206</v>
      </c>
      <c r="K430" t="s">
        <v>27</v>
      </c>
      <c r="L430" s="3" t="s">
        <v>21</v>
      </c>
      <c r="M430" cm="1">
        <f t="array" ref="M430">_xlfn.IFS(L429="A", 4, L429="B", 3, L429="C", 2, L429="D", 1)</f>
        <v>2</v>
      </c>
    </row>
    <row r="431" spans="1:13" x14ac:dyDescent="0.2">
      <c r="A431">
        <v>2023</v>
      </c>
      <c r="B431">
        <v>80206</v>
      </c>
      <c r="C431" t="s">
        <v>74</v>
      </c>
      <c r="D431" t="s">
        <v>84</v>
      </c>
      <c r="E431" t="s">
        <v>15</v>
      </c>
      <c r="F431" t="s">
        <v>16</v>
      </c>
      <c r="G431">
        <v>70.7</v>
      </c>
      <c r="H431" s="1">
        <v>26108</v>
      </c>
      <c r="I431" t="s">
        <v>31</v>
      </c>
      <c r="J431">
        <v>80206</v>
      </c>
      <c r="K431" t="s">
        <v>31</v>
      </c>
      <c r="L431" s="3" t="s">
        <v>18</v>
      </c>
      <c r="M431" cm="1">
        <f t="array" ref="M431">_xlfn.IFS(L430="A", 4, L430="B", 3, L430="C", 2, L430="D", 1)</f>
        <v>2</v>
      </c>
    </row>
    <row r="432" spans="1:13" x14ac:dyDescent="0.2">
      <c r="A432">
        <v>2023</v>
      </c>
      <c r="B432">
        <v>80206</v>
      </c>
      <c r="C432" t="s">
        <v>74</v>
      </c>
      <c r="D432" t="s">
        <v>84</v>
      </c>
      <c r="E432" t="s">
        <v>15</v>
      </c>
      <c r="F432" t="s">
        <v>16</v>
      </c>
      <c r="G432">
        <v>70.7</v>
      </c>
      <c r="H432" s="1">
        <v>26108</v>
      </c>
      <c r="I432" t="s">
        <v>32</v>
      </c>
      <c r="J432">
        <v>80206</v>
      </c>
      <c r="K432" t="s">
        <v>32</v>
      </c>
      <c r="L432" s="3" t="s">
        <v>23</v>
      </c>
      <c r="M432" cm="1">
        <f t="array" ref="M432">_xlfn.IFS(L431="A", 4, L431="B", 3, L431="C", 2, L431="D", 1)</f>
        <v>4</v>
      </c>
    </row>
    <row r="433" spans="1:13" x14ac:dyDescent="0.2">
      <c r="A433">
        <v>2023</v>
      </c>
      <c r="B433">
        <v>80206</v>
      </c>
      <c r="C433" t="s">
        <v>74</v>
      </c>
      <c r="D433" t="s">
        <v>84</v>
      </c>
      <c r="E433" t="s">
        <v>15</v>
      </c>
      <c r="F433" t="s">
        <v>16</v>
      </c>
      <c r="G433">
        <v>70.7</v>
      </c>
      <c r="H433" s="1">
        <v>26108</v>
      </c>
      <c r="I433" t="s">
        <v>33</v>
      </c>
      <c r="J433">
        <v>80206</v>
      </c>
      <c r="K433" t="s">
        <v>33</v>
      </c>
      <c r="L433" s="3" t="s">
        <v>21</v>
      </c>
      <c r="M433" cm="1">
        <f t="array" ref="M433">_xlfn.IFS(L432="A", 4, L432="B", 3, L432="C", 2, L432="D", 1)</f>
        <v>1</v>
      </c>
    </row>
    <row r="434" spans="1:13" hidden="1" x14ac:dyDescent="0.2">
      <c r="A434">
        <v>2023</v>
      </c>
      <c r="B434">
        <v>80206</v>
      </c>
      <c r="C434" t="s">
        <v>74</v>
      </c>
      <c r="D434" t="s">
        <v>85</v>
      </c>
      <c r="E434" t="s">
        <v>15</v>
      </c>
      <c r="F434" t="s">
        <v>16</v>
      </c>
      <c r="G434">
        <v>86.1</v>
      </c>
      <c r="H434" s="1">
        <v>26108</v>
      </c>
      <c r="I434" t="s">
        <v>27</v>
      </c>
      <c r="J434">
        <v>80206</v>
      </c>
      <c r="K434" t="s">
        <v>27</v>
      </c>
      <c r="L434" s="3" t="s">
        <v>21</v>
      </c>
      <c r="M434" cm="1">
        <f t="array" ref="M434">_xlfn.IFS(L433="A", 4, L433="B", 3, L433="C", 2, L433="D", 1)</f>
        <v>2</v>
      </c>
    </row>
    <row r="435" spans="1:13" hidden="1" x14ac:dyDescent="0.2">
      <c r="A435">
        <v>2023</v>
      </c>
      <c r="B435">
        <v>80206</v>
      </c>
      <c r="C435" t="s">
        <v>74</v>
      </c>
      <c r="D435" t="s">
        <v>85</v>
      </c>
      <c r="E435" t="s">
        <v>15</v>
      </c>
      <c r="F435" t="s">
        <v>16</v>
      </c>
      <c r="G435">
        <v>86.1</v>
      </c>
      <c r="H435" s="1">
        <v>26108</v>
      </c>
      <c r="I435" t="s">
        <v>31</v>
      </c>
      <c r="J435">
        <v>80206</v>
      </c>
      <c r="K435" t="s">
        <v>31</v>
      </c>
      <c r="L435" s="3" t="s">
        <v>18</v>
      </c>
      <c r="M435" cm="1">
        <f t="array" ref="M435">_xlfn.IFS(L434="A", 4, L434="B", 3, L434="C", 2, L434="D", 1)</f>
        <v>2</v>
      </c>
    </row>
    <row r="436" spans="1:13" hidden="1" x14ac:dyDescent="0.2">
      <c r="A436">
        <v>2023</v>
      </c>
      <c r="B436">
        <v>80206</v>
      </c>
      <c r="C436" t="s">
        <v>74</v>
      </c>
      <c r="D436" t="s">
        <v>85</v>
      </c>
      <c r="E436" t="s">
        <v>15</v>
      </c>
      <c r="F436" t="s">
        <v>16</v>
      </c>
      <c r="G436">
        <v>86.1</v>
      </c>
      <c r="H436" s="1">
        <v>26108</v>
      </c>
      <c r="I436" t="s">
        <v>32</v>
      </c>
      <c r="J436">
        <v>80206</v>
      </c>
      <c r="K436" t="s">
        <v>32</v>
      </c>
      <c r="L436" s="3" t="s">
        <v>23</v>
      </c>
      <c r="M436" cm="1">
        <f t="array" ref="M436">_xlfn.IFS(L435="A", 4, L435="B", 3, L435="C", 2, L435="D", 1)</f>
        <v>4</v>
      </c>
    </row>
    <row r="437" spans="1:13" hidden="1" x14ac:dyDescent="0.2">
      <c r="A437">
        <v>2023</v>
      </c>
      <c r="B437">
        <v>80206</v>
      </c>
      <c r="C437" t="s">
        <v>74</v>
      </c>
      <c r="D437" t="s">
        <v>85</v>
      </c>
      <c r="E437" t="s">
        <v>15</v>
      </c>
      <c r="F437" t="s">
        <v>16</v>
      </c>
      <c r="G437">
        <v>86.1</v>
      </c>
      <c r="H437" s="1">
        <v>26108</v>
      </c>
      <c r="I437" t="s">
        <v>33</v>
      </c>
      <c r="J437">
        <v>80206</v>
      </c>
      <c r="K437" t="s">
        <v>33</v>
      </c>
      <c r="L437" s="3" t="s">
        <v>21</v>
      </c>
      <c r="M437" cm="1">
        <f t="array" ref="M437">_xlfn.IFS(L436="A", 4, L436="B", 3, L436="C", 2, L436="D", 1)</f>
        <v>1</v>
      </c>
    </row>
    <row r="438" spans="1:13" hidden="1" x14ac:dyDescent="0.2">
      <c r="A438">
        <v>2023</v>
      </c>
      <c r="B438">
        <v>80206</v>
      </c>
      <c r="C438" t="s">
        <v>86</v>
      </c>
      <c r="D438" t="s">
        <v>87</v>
      </c>
      <c r="E438" t="s">
        <v>15</v>
      </c>
      <c r="F438" t="s">
        <v>16</v>
      </c>
      <c r="G438">
        <v>11.2</v>
      </c>
      <c r="H438" s="1">
        <v>26108</v>
      </c>
      <c r="I438" t="s">
        <v>27</v>
      </c>
      <c r="J438">
        <v>80206</v>
      </c>
      <c r="K438" t="s">
        <v>27</v>
      </c>
      <c r="L438" s="3" t="s">
        <v>21</v>
      </c>
      <c r="M438" cm="1">
        <f t="array" ref="M438">_xlfn.IFS(L437="A", 4, L437="B", 3, L437="C", 2, L437="D", 1)</f>
        <v>2</v>
      </c>
    </row>
    <row r="439" spans="1:13" hidden="1" x14ac:dyDescent="0.2">
      <c r="A439">
        <v>2023</v>
      </c>
      <c r="B439">
        <v>80206</v>
      </c>
      <c r="C439" t="s">
        <v>86</v>
      </c>
      <c r="D439" t="s">
        <v>87</v>
      </c>
      <c r="E439" t="s">
        <v>15</v>
      </c>
      <c r="F439" t="s">
        <v>16</v>
      </c>
      <c r="G439">
        <v>11.2</v>
      </c>
      <c r="H439" s="1">
        <v>26108</v>
      </c>
      <c r="I439" t="s">
        <v>31</v>
      </c>
      <c r="J439">
        <v>80206</v>
      </c>
      <c r="K439" t="s">
        <v>31</v>
      </c>
      <c r="L439" s="3" t="s">
        <v>18</v>
      </c>
      <c r="M439" cm="1">
        <f t="array" ref="M439">_xlfn.IFS(L438="A", 4, L438="B", 3, L438="C", 2, L438="D", 1)</f>
        <v>2</v>
      </c>
    </row>
    <row r="440" spans="1:13" hidden="1" x14ac:dyDescent="0.2">
      <c r="A440">
        <v>2023</v>
      </c>
      <c r="B440">
        <v>80206</v>
      </c>
      <c r="C440" t="s">
        <v>86</v>
      </c>
      <c r="D440" t="s">
        <v>87</v>
      </c>
      <c r="E440" t="s">
        <v>15</v>
      </c>
      <c r="F440" t="s">
        <v>16</v>
      </c>
      <c r="G440">
        <v>11.2</v>
      </c>
      <c r="H440" s="1">
        <v>26108</v>
      </c>
      <c r="I440" t="s">
        <v>32</v>
      </c>
      <c r="J440">
        <v>80206</v>
      </c>
      <c r="K440" t="s">
        <v>32</v>
      </c>
      <c r="L440" s="3" t="s">
        <v>23</v>
      </c>
      <c r="M440" cm="1">
        <f t="array" ref="M440">_xlfn.IFS(L439="A", 4, L439="B", 3, L439="C", 2, L439="D", 1)</f>
        <v>4</v>
      </c>
    </row>
    <row r="441" spans="1:13" hidden="1" x14ac:dyDescent="0.2">
      <c r="A441">
        <v>2023</v>
      </c>
      <c r="B441">
        <v>80206</v>
      </c>
      <c r="C441" t="s">
        <v>86</v>
      </c>
      <c r="D441" t="s">
        <v>87</v>
      </c>
      <c r="E441" t="s">
        <v>15</v>
      </c>
      <c r="F441" t="s">
        <v>16</v>
      </c>
      <c r="G441">
        <v>11.2</v>
      </c>
      <c r="H441" s="1">
        <v>26108</v>
      </c>
      <c r="I441" t="s">
        <v>33</v>
      </c>
      <c r="J441">
        <v>80206</v>
      </c>
      <c r="K441" t="s">
        <v>33</v>
      </c>
      <c r="L441" s="3" t="s">
        <v>21</v>
      </c>
      <c r="M441" cm="1">
        <f t="array" ref="M441">_xlfn.IFS(L440="A", 4, L440="B", 3, L440="C", 2, L440="D", 1)</f>
        <v>1</v>
      </c>
    </row>
    <row r="442" spans="1:13" hidden="1" x14ac:dyDescent="0.2">
      <c r="A442">
        <v>2022</v>
      </c>
      <c r="B442">
        <v>80206</v>
      </c>
      <c r="C442" t="s">
        <v>74</v>
      </c>
      <c r="D442" t="s">
        <v>88</v>
      </c>
      <c r="E442" t="s">
        <v>15</v>
      </c>
      <c r="F442" t="s">
        <v>16</v>
      </c>
      <c r="G442">
        <v>68</v>
      </c>
      <c r="H442" s="1">
        <v>26108</v>
      </c>
      <c r="I442" t="s">
        <v>27</v>
      </c>
      <c r="J442">
        <v>80206</v>
      </c>
      <c r="K442" t="s">
        <v>27</v>
      </c>
      <c r="L442" s="3" t="s">
        <v>21</v>
      </c>
      <c r="M442" cm="1">
        <f t="array" ref="M442">_xlfn.IFS(L441="A", 4, L441="B", 3, L441="C", 2, L441="D", 1)</f>
        <v>2</v>
      </c>
    </row>
    <row r="443" spans="1:13" hidden="1" x14ac:dyDescent="0.2">
      <c r="A443">
        <v>2022</v>
      </c>
      <c r="B443">
        <v>80206</v>
      </c>
      <c r="C443" t="s">
        <v>74</v>
      </c>
      <c r="D443" t="s">
        <v>88</v>
      </c>
      <c r="E443" t="s">
        <v>15</v>
      </c>
      <c r="F443" t="s">
        <v>16</v>
      </c>
      <c r="G443">
        <v>68</v>
      </c>
      <c r="H443" s="1">
        <v>26108</v>
      </c>
      <c r="I443" t="s">
        <v>31</v>
      </c>
      <c r="J443">
        <v>80206</v>
      </c>
      <c r="K443" t="s">
        <v>31</v>
      </c>
      <c r="L443" s="3" t="s">
        <v>18</v>
      </c>
      <c r="M443" cm="1">
        <f t="array" ref="M443">_xlfn.IFS(L442="A", 4, L442="B", 3, L442="C", 2, L442="D", 1)</f>
        <v>2</v>
      </c>
    </row>
    <row r="444" spans="1:13" hidden="1" x14ac:dyDescent="0.2">
      <c r="A444">
        <v>2022</v>
      </c>
      <c r="B444">
        <v>80206</v>
      </c>
      <c r="C444" t="s">
        <v>74</v>
      </c>
      <c r="D444" t="s">
        <v>88</v>
      </c>
      <c r="E444" t="s">
        <v>15</v>
      </c>
      <c r="F444" t="s">
        <v>16</v>
      </c>
      <c r="G444">
        <v>68</v>
      </c>
      <c r="H444" s="1">
        <v>26108</v>
      </c>
      <c r="I444" t="s">
        <v>32</v>
      </c>
      <c r="J444">
        <v>80206</v>
      </c>
      <c r="K444" t="s">
        <v>32</v>
      </c>
      <c r="L444" s="3" t="s">
        <v>23</v>
      </c>
      <c r="M444" cm="1">
        <f t="array" ref="M444">_xlfn.IFS(L443="A", 4, L443="B", 3, L443="C", 2, L443="D", 1)</f>
        <v>4</v>
      </c>
    </row>
    <row r="445" spans="1:13" hidden="1" x14ac:dyDescent="0.2">
      <c r="A445">
        <v>2022</v>
      </c>
      <c r="B445">
        <v>80206</v>
      </c>
      <c r="C445" t="s">
        <v>74</v>
      </c>
      <c r="D445" t="s">
        <v>88</v>
      </c>
      <c r="E445" t="s">
        <v>15</v>
      </c>
      <c r="F445" t="s">
        <v>16</v>
      </c>
      <c r="G445">
        <v>68</v>
      </c>
      <c r="H445" s="1">
        <v>26108</v>
      </c>
      <c r="I445" t="s">
        <v>33</v>
      </c>
      <c r="J445">
        <v>80206</v>
      </c>
      <c r="K445" t="s">
        <v>33</v>
      </c>
      <c r="L445" s="3" t="s">
        <v>21</v>
      </c>
      <c r="M445" cm="1">
        <f t="array" ref="M445">_xlfn.IFS(L444="A", 4, L444="B", 3, L444="C", 2, L444="D", 1)</f>
        <v>1</v>
      </c>
    </row>
    <row r="446" spans="1:13" hidden="1" x14ac:dyDescent="0.2">
      <c r="A446">
        <v>2023</v>
      </c>
      <c r="B446">
        <v>80206</v>
      </c>
      <c r="C446" t="s">
        <v>13</v>
      </c>
      <c r="D446" t="s">
        <v>89</v>
      </c>
      <c r="E446" t="s">
        <v>15</v>
      </c>
      <c r="F446" t="s">
        <v>16</v>
      </c>
      <c r="G446">
        <v>3.6</v>
      </c>
      <c r="H446" s="1">
        <v>26108</v>
      </c>
      <c r="I446" t="s">
        <v>27</v>
      </c>
      <c r="J446">
        <v>80206</v>
      </c>
      <c r="K446" t="s">
        <v>27</v>
      </c>
      <c r="L446" s="3" t="s">
        <v>21</v>
      </c>
      <c r="M446" cm="1">
        <f t="array" ref="M446">_xlfn.IFS(L445="A", 4, L445="B", 3, L445="C", 2, L445="D", 1)</f>
        <v>2</v>
      </c>
    </row>
    <row r="447" spans="1:13" hidden="1" x14ac:dyDescent="0.2">
      <c r="A447">
        <v>2023</v>
      </c>
      <c r="B447">
        <v>80206</v>
      </c>
      <c r="C447" t="s">
        <v>13</v>
      </c>
      <c r="D447" t="s">
        <v>89</v>
      </c>
      <c r="E447" t="s">
        <v>15</v>
      </c>
      <c r="F447" t="s">
        <v>16</v>
      </c>
      <c r="G447">
        <v>3.6</v>
      </c>
      <c r="H447" s="1">
        <v>26108</v>
      </c>
      <c r="I447" t="s">
        <v>31</v>
      </c>
      <c r="J447">
        <v>80206</v>
      </c>
      <c r="K447" t="s">
        <v>31</v>
      </c>
      <c r="L447" s="3" t="s">
        <v>18</v>
      </c>
      <c r="M447" cm="1">
        <f t="array" ref="M447">_xlfn.IFS(L446="A", 4, L446="B", 3, L446="C", 2, L446="D", 1)</f>
        <v>2</v>
      </c>
    </row>
    <row r="448" spans="1:13" hidden="1" x14ac:dyDescent="0.2">
      <c r="A448">
        <v>2023</v>
      </c>
      <c r="B448">
        <v>80206</v>
      </c>
      <c r="C448" t="s">
        <v>13</v>
      </c>
      <c r="D448" t="s">
        <v>89</v>
      </c>
      <c r="E448" t="s">
        <v>15</v>
      </c>
      <c r="F448" t="s">
        <v>16</v>
      </c>
      <c r="G448">
        <v>3.6</v>
      </c>
      <c r="H448" s="1">
        <v>26108</v>
      </c>
      <c r="I448" t="s">
        <v>32</v>
      </c>
      <c r="J448">
        <v>80206</v>
      </c>
      <c r="K448" t="s">
        <v>32</v>
      </c>
      <c r="L448" s="3" t="s">
        <v>23</v>
      </c>
      <c r="M448" cm="1">
        <f t="array" ref="M448">_xlfn.IFS(L447="A", 4, L447="B", 3, L447="C", 2, L447="D", 1)</f>
        <v>4</v>
      </c>
    </row>
    <row r="449" spans="1:13" hidden="1" x14ac:dyDescent="0.2">
      <c r="A449">
        <v>2023</v>
      </c>
      <c r="B449">
        <v>80206</v>
      </c>
      <c r="C449" t="s">
        <v>13</v>
      </c>
      <c r="D449" t="s">
        <v>89</v>
      </c>
      <c r="E449" t="s">
        <v>15</v>
      </c>
      <c r="F449" t="s">
        <v>16</v>
      </c>
      <c r="G449">
        <v>3.6</v>
      </c>
      <c r="H449" s="1">
        <v>26108</v>
      </c>
      <c r="I449" t="s">
        <v>33</v>
      </c>
      <c r="J449">
        <v>80206</v>
      </c>
      <c r="K449" t="s">
        <v>33</v>
      </c>
      <c r="L449" s="3" t="s">
        <v>21</v>
      </c>
      <c r="M449" cm="1">
        <f t="array" ref="M449">_xlfn.IFS(L448="A", 4, L448="B", 3, L448="C", 2, L448="D", 1)</f>
        <v>1</v>
      </c>
    </row>
    <row r="450" spans="1:13" hidden="1" x14ac:dyDescent="0.2">
      <c r="A450">
        <v>2023</v>
      </c>
      <c r="B450">
        <v>80206</v>
      </c>
      <c r="C450" t="s">
        <v>77</v>
      </c>
      <c r="D450" t="s">
        <v>90</v>
      </c>
      <c r="E450" t="s">
        <v>15</v>
      </c>
      <c r="F450" t="s">
        <v>16</v>
      </c>
      <c r="G450">
        <v>8</v>
      </c>
      <c r="H450" s="1">
        <v>26108</v>
      </c>
      <c r="I450" t="s">
        <v>27</v>
      </c>
      <c r="J450">
        <v>80206</v>
      </c>
      <c r="K450" t="s">
        <v>27</v>
      </c>
      <c r="L450" s="3" t="s">
        <v>21</v>
      </c>
      <c r="M450" cm="1">
        <f t="array" ref="M450">_xlfn.IFS(L449="A", 4, L449="B", 3, L449="C", 2, L449="D", 1)</f>
        <v>2</v>
      </c>
    </row>
    <row r="451" spans="1:13" hidden="1" x14ac:dyDescent="0.2">
      <c r="A451">
        <v>2023</v>
      </c>
      <c r="B451">
        <v>80206</v>
      </c>
      <c r="C451" t="s">
        <v>77</v>
      </c>
      <c r="D451" t="s">
        <v>90</v>
      </c>
      <c r="E451" t="s">
        <v>15</v>
      </c>
      <c r="F451" t="s">
        <v>16</v>
      </c>
      <c r="G451">
        <v>8</v>
      </c>
      <c r="H451" s="1">
        <v>26108</v>
      </c>
      <c r="I451" t="s">
        <v>31</v>
      </c>
      <c r="J451">
        <v>80206</v>
      </c>
      <c r="K451" t="s">
        <v>31</v>
      </c>
      <c r="L451" s="3" t="s">
        <v>18</v>
      </c>
      <c r="M451" cm="1">
        <f t="array" ref="M451">_xlfn.IFS(L450="A", 4, L450="B", 3, L450="C", 2, L450="D", 1)</f>
        <v>2</v>
      </c>
    </row>
    <row r="452" spans="1:13" hidden="1" x14ac:dyDescent="0.2">
      <c r="A452">
        <v>2023</v>
      </c>
      <c r="B452">
        <v>80206</v>
      </c>
      <c r="C452" t="s">
        <v>77</v>
      </c>
      <c r="D452" t="s">
        <v>90</v>
      </c>
      <c r="E452" t="s">
        <v>15</v>
      </c>
      <c r="F452" t="s">
        <v>16</v>
      </c>
      <c r="G452">
        <v>8</v>
      </c>
      <c r="H452" s="1">
        <v>26108</v>
      </c>
      <c r="I452" t="s">
        <v>32</v>
      </c>
      <c r="J452">
        <v>80206</v>
      </c>
      <c r="K452" t="s">
        <v>32</v>
      </c>
      <c r="L452" s="3" t="s">
        <v>23</v>
      </c>
      <c r="M452" cm="1">
        <f t="array" ref="M452">_xlfn.IFS(L451="A", 4, L451="B", 3, L451="C", 2, L451="D", 1)</f>
        <v>4</v>
      </c>
    </row>
    <row r="453" spans="1:13" hidden="1" x14ac:dyDescent="0.2">
      <c r="A453">
        <v>2023</v>
      </c>
      <c r="B453">
        <v>80206</v>
      </c>
      <c r="C453" t="s">
        <v>77</v>
      </c>
      <c r="D453" t="s">
        <v>90</v>
      </c>
      <c r="E453" t="s">
        <v>15</v>
      </c>
      <c r="F453" t="s">
        <v>16</v>
      </c>
      <c r="G453">
        <v>8</v>
      </c>
      <c r="H453" s="1">
        <v>26108</v>
      </c>
      <c r="I453" t="s">
        <v>33</v>
      </c>
      <c r="J453">
        <v>80206</v>
      </c>
      <c r="K453" t="s">
        <v>33</v>
      </c>
      <c r="L453" s="3" t="s">
        <v>21</v>
      </c>
      <c r="M453" cm="1">
        <f t="array" ref="M453">_xlfn.IFS(L452="A", 4, L452="B", 3, L452="C", 2, L452="D", 1)</f>
        <v>1</v>
      </c>
    </row>
    <row r="454" spans="1:13" hidden="1" x14ac:dyDescent="0.2">
      <c r="A454">
        <v>2022</v>
      </c>
      <c r="B454">
        <v>80206</v>
      </c>
      <c r="C454" t="s">
        <v>74</v>
      </c>
      <c r="D454" t="s">
        <v>91</v>
      </c>
      <c r="E454" t="s">
        <v>15</v>
      </c>
      <c r="F454" t="s">
        <v>16</v>
      </c>
      <c r="G454">
        <v>71.7</v>
      </c>
      <c r="H454" s="1">
        <v>26108</v>
      </c>
      <c r="I454" t="s">
        <v>27</v>
      </c>
      <c r="J454">
        <v>80206</v>
      </c>
      <c r="K454" t="s">
        <v>27</v>
      </c>
      <c r="L454" s="3" t="s">
        <v>21</v>
      </c>
      <c r="M454" cm="1">
        <f t="array" ref="M454">_xlfn.IFS(L453="A", 4, L453="B", 3, L453="C", 2, L453="D", 1)</f>
        <v>2</v>
      </c>
    </row>
    <row r="455" spans="1:13" hidden="1" x14ac:dyDescent="0.2">
      <c r="A455">
        <v>2022</v>
      </c>
      <c r="B455">
        <v>80206</v>
      </c>
      <c r="C455" t="s">
        <v>74</v>
      </c>
      <c r="D455" t="s">
        <v>91</v>
      </c>
      <c r="E455" t="s">
        <v>15</v>
      </c>
      <c r="F455" t="s">
        <v>16</v>
      </c>
      <c r="G455">
        <v>71.7</v>
      </c>
      <c r="H455" s="1">
        <v>26108</v>
      </c>
      <c r="I455" t="s">
        <v>31</v>
      </c>
      <c r="J455">
        <v>80206</v>
      </c>
      <c r="K455" t="s">
        <v>31</v>
      </c>
      <c r="L455" s="3" t="s">
        <v>18</v>
      </c>
      <c r="M455" cm="1">
        <f t="array" ref="M455">_xlfn.IFS(L454="A", 4, L454="B", 3, L454="C", 2, L454="D", 1)</f>
        <v>2</v>
      </c>
    </row>
    <row r="456" spans="1:13" hidden="1" x14ac:dyDescent="0.2">
      <c r="A456">
        <v>2022</v>
      </c>
      <c r="B456">
        <v>80206</v>
      </c>
      <c r="C456" t="s">
        <v>74</v>
      </c>
      <c r="D456" t="s">
        <v>91</v>
      </c>
      <c r="E456" t="s">
        <v>15</v>
      </c>
      <c r="F456" t="s">
        <v>16</v>
      </c>
      <c r="G456">
        <v>71.7</v>
      </c>
      <c r="H456" s="1">
        <v>26108</v>
      </c>
      <c r="I456" t="s">
        <v>32</v>
      </c>
      <c r="J456">
        <v>80206</v>
      </c>
      <c r="K456" t="s">
        <v>32</v>
      </c>
      <c r="L456" s="3" t="s">
        <v>23</v>
      </c>
      <c r="M456" cm="1">
        <f t="array" ref="M456">_xlfn.IFS(L455="A", 4, L455="B", 3, L455="C", 2, L455="D", 1)</f>
        <v>4</v>
      </c>
    </row>
    <row r="457" spans="1:13" hidden="1" x14ac:dyDescent="0.2">
      <c r="A457">
        <v>2022</v>
      </c>
      <c r="B457">
        <v>80206</v>
      </c>
      <c r="C457" t="s">
        <v>74</v>
      </c>
      <c r="D457" t="s">
        <v>91</v>
      </c>
      <c r="E457" t="s">
        <v>15</v>
      </c>
      <c r="F457" t="s">
        <v>16</v>
      </c>
      <c r="G457">
        <v>71.7</v>
      </c>
      <c r="H457" s="1">
        <v>26108</v>
      </c>
      <c r="I457" t="s">
        <v>33</v>
      </c>
      <c r="J457">
        <v>80206</v>
      </c>
      <c r="K457" t="s">
        <v>33</v>
      </c>
      <c r="L457" s="3" t="s">
        <v>21</v>
      </c>
      <c r="M457" cm="1">
        <f t="array" ref="M457">_xlfn.IFS(L456="A", 4, L456="B", 3, L456="C", 2, L456="D", 1)</f>
        <v>1</v>
      </c>
    </row>
    <row r="458" spans="1:13" hidden="1" x14ac:dyDescent="0.2">
      <c r="A458">
        <v>2023</v>
      </c>
      <c r="B458">
        <v>80206</v>
      </c>
      <c r="C458" t="s">
        <v>13</v>
      </c>
      <c r="D458" t="s">
        <v>92</v>
      </c>
      <c r="E458" t="s">
        <v>15</v>
      </c>
      <c r="F458" t="s">
        <v>16</v>
      </c>
      <c r="G458">
        <v>23.9</v>
      </c>
      <c r="H458" s="1">
        <v>26108</v>
      </c>
      <c r="I458" t="s">
        <v>27</v>
      </c>
      <c r="J458">
        <v>80206</v>
      </c>
      <c r="K458" t="s">
        <v>27</v>
      </c>
      <c r="L458" s="3" t="s">
        <v>21</v>
      </c>
      <c r="M458" cm="1">
        <f t="array" ref="M458">_xlfn.IFS(L457="A", 4, L457="B", 3, L457="C", 2, L457="D", 1)</f>
        <v>2</v>
      </c>
    </row>
    <row r="459" spans="1:13" hidden="1" x14ac:dyDescent="0.2">
      <c r="A459">
        <v>2023</v>
      </c>
      <c r="B459">
        <v>80206</v>
      </c>
      <c r="C459" t="s">
        <v>13</v>
      </c>
      <c r="D459" t="s">
        <v>92</v>
      </c>
      <c r="E459" t="s">
        <v>15</v>
      </c>
      <c r="F459" t="s">
        <v>16</v>
      </c>
      <c r="G459">
        <v>23.9</v>
      </c>
      <c r="H459" s="1">
        <v>26108</v>
      </c>
      <c r="I459" t="s">
        <v>31</v>
      </c>
      <c r="J459">
        <v>80206</v>
      </c>
      <c r="K459" t="s">
        <v>31</v>
      </c>
      <c r="L459" s="3" t="s">
        <v>18</v>
      </c>
      <c r="M459" cm="1">
        <f t="array" ref="M459">_xlfn.IFS(L458="A", 4, L458="B", 3, L458="C", 2, L458="D", 1)</f>
        <v>2</v>
      </c>
    </row>
    <row r="460" spans="1:13" hidden="1" x14ac:dyDescent="0.2">
      <c r="A460">
        <v>2023</v>
      </c>
      <c r="B460">
        <v>80206</v>
      </c>
      <c r="C460" t="s">
        <v>13</v>
      </c>
      <c r="D460" t="s">
        <v>92</v>
      </c>
      <c r="E460" t="s">
        <v>15</v>
      </c>
      <c r="F460" t="s">
        <v>16</v>
      </c>
      <c r="G460">
        <v>23.9</v>
      </c>
      <c r="H460" s="1">
        <v>26108</v>
      </c>
      <c r="I460" t="s">
        <v>32</v>
      </c>
      <c r="J460">
        <v>80206</v>
      </c>
      <c r="K460" t="s">
        <v>32</v>
      </c>
      <c r="L460" s="3" t="s">
        <v>23</v>
      </c>
      <c r="M460" cm="1">
        <f t="array" ref="M460">_xlfn.IFS(L459="A", 4, L459="B", 3, L459="C", 2, L459="D", 1)</f>
        <v>4</v>
      </c>
    </row>
    <row r="461" spans="1:13" hidden="1" x14ac:dyDescent="0.2">
      <c r="A461">
        <v>2023</v>
      </c>
      <c r="B461">
        <v>80206</v>
      </c>
      <c r="C461" t="s">
        <v>13</v>
      </c>
      <c r="D461" t="s">
        <v>92</v>
      </c>
      <c r="E461" t="s">
        <v>15</v>
      </c>
      <c r="F461" t="s">
        <v>16</v>
      </c>
      <c r="G461">
        <v>23.9</v>
      </c>
      <c r="H461" s="1">
        <v>26108</v>
      </c>
      <c r="I461" t="s">
        <v>33</v>
      </c>
      <c r="J461">
        <v>80206</v>
      </c>
      <c r="K461" t="s">
        <v>33</v>
      </c>
      <c r="L461" s="3" t="s">
        <v>21</v>
      </c>
      <c r="M461" cm="1">
        <f t="array" ref="M461">_xlfn.IFS(L460="A", 4, L460="B", 3, L460="C", 2, L460="D", 1)</f>
        <v>1</v>
      </c>
    </row>
    <row r="462" spans="1:13" hidden="1" x14ac:dyDescent="0.2">
      <c r="A462">
        <v>2023</v>
      </c>
      <c r="B462">
        <v>80206</v>
      </c>
      <c r="C462" t="s">
        <v>13</v>
      </c>
      <c r="D462" t="s">
        <v>14</v>
      </c>
      <c r="E462" t="s">
        <v>15</v>
      </c>
      <c r="F462" t="s">
        <v>16</v>
      </c>
      <c r="G462">
        <v>5.7</v>
      </c>
      <c r="H462" s="1">
        <v>26108</v>
      </c>
      <c r="I462" t="s">
        <v>27</v>
      </c>
      <c r="J462">
        <v>80206</v>
      </c>
      <c r="K462" t="s">
        <v>27</v>
      </c>
      <c r="L462" s="3" t="s">
        <v>21</v>
      </c>
      <c r="M462" cm="1">
        <f t="array" ref="M462">_xlfn.IFS(L461="A", 4, L461="B", 3, L461="C", 2, L461="D", 1)</f>
        <v>2</v>
      </c>
    </row>
    <row r="463" spans="1:13" hidden="1" x14ac:dyDescent="0.2">
      <c r="A463">
        <v>2023</v>
      </c>
      <c r="B463">
        <v>80206</v>
      </c>
      <c r="C463" t="s">
        <v>13</v>
      </c>
      <c r="D463" t="s">
        <v>14</v>
      </c>
      <c r="E463" t="s">
        <v>15</v>
      </c>
      <c r="F463" t="s">
        <v>16</v>
      </c>
      <c r="G463">
        <v>5.7</v>
      </c>
      <c r="H463" s="1">
        <v>26108</v>
      </c>
      <c r="I463" t="s">
        <v>31</v>
      </c>
      <c r="J463">
        <v>80206</v>
      </c>
      <c r="K463" t="s">
        <v>31</v>
      </c>
      <c r="L463" s="3" t="s">
        <v>18</v>
      </c>
      <c r="M463" cm="1">
        <f t="array" ref="M463">_xlfn.IFS(L462="A", 4, L462="B", 3, L462="C", 2, L462="D", 1)</f>
        <v>2</v>
      </c>
    </row>
    <row r="464" spans="1:13" hidden="1" x14ac:dyDescent="0.2">
      <c r="A464">
        <v>2023</v>
      </c>
      <c r="B464">
        <v>80206</v>
      </c>
      <c r="C464" t="s">
        <v>13</v>
      </c>
      <c r="D464" t="s">
        <v>14</v>
      </c>
      <c r="E464" t="s">
        <v>15</v>
      </c>
      <c r="F464" t="s">
        <v>16</v>
      </c>
      <c r="G464">
        <v>5.7</v>
      </c>
      <c r="H464" s="1">
        <v>26108</v>
      </c>
      <c r="I464" t="s">
        <v>32</v>
      </c>
      <c r="J464">
        <v>80206</v>
      </c>
      <c r="K464" t="s">
        <v>32</v>
      </c>
      <c r="L464" s="3" t="s">
        <v>23</v>
      </c>
      <c r="M464" cm="1">
        <f t="array" ref="M464">_xlfn.IFS(L463="A", 4, L463="B", 3, L463="C", 2, L463="D", 1)</f>
        <v>4</v>
      </c>
    </row>
    <row r="465" spans="1:13" hidden="1" x14ac:dyDescent="0.2">
      <c r="A465">
        <v>2023</v>
      </c>
      <c r="B465">
        <v>80206</v>
      </c>
      <c r="C465" t="s">
        <v>13</v>
      </c>
      <c r="D465" t="s">
        <v>14</v>
      </c>
      <c r="E465" t="s">
        <v>15</v>
      </c>
      <c r="F465" t="s">
        <v>16</v>
      </c>
      <c r="G465">
        <v>5.7</v>
      </c>
      <c r="H465" s="1">
        <v>26108</v>
      </c>
      <c r="I465" t="s">
        <v>33</v>
      </c>
      <c r="J465">
        <v>80206</v>
      </c>
      <c r="K465" t="s">
        <v>33</v>
      </c>
      <c r="L465" s="3" t="s">
        <v>21</v>
      </c>
      <c r="M465" cm="1">
        <f t="array" ref="M465">_xlfn.IFS(L464="A", 4, L464="B", 3, L464="C", 2, L464="D", 1)</f>
        <v>1</v>
      </c>
    </row>
    <row r="466" spans="1:13" hidden="1" x14ac:dyDescent="0.2">
      <c r="A466">
        <v>2023</v>
      </c>
      <c r="B466">
        <v>80206</v>
      </c>
      <c r="C466" t="s">
        <v>86</v>
      </c>
      <c r="D466" t="s">
        <v>93</v>
      </c>
      <c r="E466" t="s">
        <v>15</v>
      </c>
      <c r="F466" t="s">
        <v>16</v>
      </c>
      <c r="G466">
        <v>21.1</v>
      </c>
      <c r="H466" s="1">
        <v>26108</v>
      </c>
      <c r="I466" t="s">
        <v>27</v>
      </c>
      <c r="J466">
        <v>80206</v>
      </c>
      <c r="K466" t="s">
        <v>27</v>
      </c>
      <c r="L466" s="3" t="s">
        <v>21</v>
      </c>
      <c r="M466" cm="1">
        <f t="array" ref="M466">_xlfn.IFS(L465="A", 4, L465="B", 3, L465="C", 2, L465="D", 1)</f>
        <v>2</v>
      </c>
    </row>
    <row r="467" spans="1:13" hidden="1" x14ac:dyDescent="0.2">
      <c r="A467">
        <v>2023</v>
      </c>
      <c r="B467">
        <v>80206</v>
      </c>
      <c r="C467" t="s">
        <v>86</v>
      </c>
      <c r="D467" t="s">
        <v>93</v>
      </c>
      <c r="E467" t="s">
        <v>15</v>
      </c>
      <c r="F467" t="s">
        <v>16</v>
      </c>
      <c r="G467">
        <v>21.1</v>
      </c>
      <c r="H467" s="1">
        <v>26108</v>
      </c>
      <c r="I467" t="s">
        <v>31</v>
      </c>
      <c r="J467">
        <v>80206</v>
      </c>
      <c r="K467" t="s">
        <v>31</v>
      </c>
      <c r="L467" s="3" t="s">
        <v>18</v>
      </c>
      <c r="M467" cm="1">
        <f t="array" ref="M467">_xlfn.IFS(L466="A", 4, L466="B", 3, L466="C", 2, L466="D", 1)</f>
        <v>2</v>
      </c>
    </row>
    <row r="468" spans="1:13" hidden="1" x14ac:dyDescent="0.2">
      <c r="A468">
        <v>2023</v>
      </c>
      <c r="B468">
        <v>80206</v>
      </c>
      <c r="C468" t="s">
        <v>86</v>
      </c>
      <c r="D468" t="s">
        <v>93</v>
      </c>
      <c r="E468" t="s">
        <v>15</v>
      </c>
      <c r="F468" t="s">
        <v>16</v>
      </c>
      <c r="G468">
        <v>21.1</v>
      </c>
      <c r="H468" s="1">
        <v>26108</v>
      </c>
      <c r="I468" t="s">
        <v>32</v>
      </c>
      <c r="J468">
        <v>80206</v>
      </c>
      <c r="K468" t="s">
        <v>32</v>
      </c>
      <c r="L468" s="3" t="s">
        <v>23</v>
      </c>
      <c r="M468" cm="1">
        <f t="array" ref="M468">_xlfn.IFS(L467="A", 4, L467="B", 3, L467="C", 2, L467="D", 1)</f>
        <v>4</v>
      </c>
    </row>
    <row r="469" spans="1:13" hidden="1" x14ac:dyDescent="0.2">
      <c r="A469">
        <v>2023</v>
      </c>
      <c r="B469">
        <v>80206</v>
      </c>
      <c r="C469" t="s">
        <v>86</v>
      </c>
      <c r="D469" t="s">
        <v>93</v>
      </c>
      <c r="E469" t="s">
        <v>15</v>
      </c>
      <c r="F469" t="s">
        <v>16</v>
      </c>
      <c r="G469">
        <v>21.1</v>
      </c>
      <c r="H469" s="1">
        <v>26108</v>
      </c>
      <c r="I469" t="s">
        <v>33</v>
      </c>
      <c r="J469">
        <v>80206</v>
      </c>
      <c r="K469" t="s">
        <v>33</v>
      </c>
      <c r="L469" s="3" t="s">
        <v>21</v>
      </c>
      <c r="M469" cm="1">
        <f t="array" ref="M469">_xlfn.IFS(L468="A", 4, L468="B", 3, L468="C", 2, L468="D", 1)</f>
        <v>1</v>
      </c>
    </row>
    <row r="470" spans="1:13" hidden="1" x14ac:dyDescent="0.2">
      <c r="A470">
        <v>2023</v>
      </c>
      <c r="B470">
        <v>80206</v>
      </c>
      <c r="C470" t="s">
        <v>94</v>
      </c>
      <c r="D470" t="s">
        <v>95</v>
      </c>
      <c r="E470" t="s">
        <v>15</v>
      </c>
      <c r="F470" t="s">
        <v>16</v>
      </c>
      <c r="G470">
        <v>10.5</v>
      </c>
      <c r="H470" s="1">
        <v>26108</v>
      </c>
      <c r="I470" t="s">
        <v>27</v>
      </c>
      <c r="J470">
        <v>80206</v>
      </c>
      <c r="K470" t="s">
        <v>27</v>
      </c>
      <c r="L470" s="3" t="s">
        <v>21</v>
      </c>
      <c r="M470" cm="1">
        <f t="array" ref="M470">_xlfn.IFS(L469="A", 4, L469="B", 3, L469="C", 2, L469="D", 1)</f>
        <v>2</v>
      </c>
    </row>
    <row r="471" spans="1:13" hidden="1" x14ac:dyDescent="0.2">
      <c r="A471">
        <v>2023</v>
      </c>
      <c r="B471">
        <v>80206</v>
      </c>
      <c r="C471" t="s">
        <v>94</v>
      </c>
      <c r="D471" t="s">
        <v>95</v>
      </c>
      <c r="E471" t="s">
        <v>15</v>
      </c>
      <c r="F471" t="s">
        <v>16</v>
      </c>
      <c r="G471">
        <v>10.5</v>
      </c>
      <c r="H471" s="1">
        <v>26108</v>
      </c>
      <c r="I471" t="s">
        <v>31</v>
      </c>
      <c r="J471">
        <v>80206</v>
      </c>
      <c r="K471" t="s">
        <v>31</v>
      </c>
      <c r="L471" s="3" t="s">
        <v>18</v>
      </c>
      <c r="M471" cm="1">
        <f t="array" ref="M471">_xlfn.IFS(L470="A", 4, L470="B", 3, L470="C", 2, L470="D", 1)</f>
        <v>2</v>
      </c>
    </row>
    <row r="472" spans="1:13" hidden="1" x14ac:dyDescent="0.2">
      <c r="A472">
        <v>2023</v>
      </c>
      <c r="B472">
        <v>80206</v>
      </c>
      <c r="C472" t="s">
        <v>94</v>
      </c>
      <c r="D472" t="s">
        <v>95</v>
      </c>
      <c r="E472" t="s">
        <v>15</v>
      </c>
      <c r="F472" t="s">
        <v>16</v>
      </c>
      <c r="G472">
        <v>10.5</v>
      </c>
      <c r="H472" s="1">
        <v>26108</v>
      </c>
      <c r="I472" t="s">
        <v>32</v>
      </c>
      <c r="J472">
        <v>80206</v>
      </c>
      <c r="K472" t="s">
        <v>32</v>
      </c>
      <c r="L472" s="3" t="s">
        <v>23</v>
      </c>
      <c r="M472" cm="1">
        <f t="array" ref="M472">_xlfn.IFS(L471="A", 4, L471="B", 3, L471="C", 2, L471="D", 1)</f>
        <v>4</v>
      </c>
    </row>
    <row r="473" spans="1:13" hidden="1" x14ac:dyDescent="0.2">
      <c r="A473">
        <v>2023</v>
      </c>
      <c r="B473">
        <v>80206</v>
      </c>
      <c r="C473" t="s">
        <v>94</v>
      </c>
      <c r="D473" t="s">
        <v>95</v>
      </c>
      <c r="E473" t="s">
        <v>15</v>
      </c>
      <c r="F473" t="s">
        <v>16</v>
      </c>
      <c r="G473">
        <v>10.5</v>
      </c>
      <c r="H473" s="1">
        <v>26108</v>
      </c>
      <c r="I473" t="s">
        <v>33</v>
      </c>
      <c r="J473">
        <v>80206</v>
      </c>
      <c r="K473" t="s">
        <v>33</v>
      </c>
      <c r="L473" s="3" t="s">
        <v>21</v>
      </c>
      <c r="M473" cm="1">
        <f t="array" ref="M473">_xlfn.IFS(L472="A", 4, L472="B", 3, L472="C", 2, L472="D", 1)</f>
        <v>1</v>
      </c>
    </row>
    <row r="474" spans="1:13" hidden="1" x14ac:dyDescent="0.2">
      <c r="A474">
        <v>2023</v>
      </c>
      <c r="B474">
        <v>80206</v>
      </c>
      <c r="C474" t="s">
        <v>86</v>
      </c>
      <c r="D474" t="s">
        <v>96</v>
      </c>
      <c r="E474" t="s">
        <v>15</v>
      </c>
      <c r="F474" t="s">
        <v>16</v>
      </c>
      <c r="G474">
        <v>4.8</v>
      </c>
      <c r="H474" s="1">
        <v>26108</v>
      </c>
      <c r="I474" t="s">
        <v>27</v>
      </c>
      <c r="J474">
        <v>80206</v>
      </c>
      <c r="K474" t="s">
        <v>27</v>
      </c>
      <c r="L474" s="3" t="s">
        <v>21</v>
      </c>
      <c r="M474" cm="1">
        <f t="array" ref="M474">_xlfn.IFS(L473="A", 4, L473="B", 3, L473="C", 2, L473="D", 1)</f>
        <v>2</v>
      </c>
    </row>
    <row r="475" spans="1:13" hidden="1" x14ac:dyDescent="0.2">
      <c r="A475">
        <v>2023</v>
      </c>
      <c r="B475">
        <v>80206</v>
      </c>
      <c r="C475" t="s">
        <v>86</v>
      </c>
      <c r="D475" t="s">
        <v>96</v>
      </c>
      <c r="E475" t="s">
        <v>15</v>
      </c>
      <c r="F475" t="s">
        <v>16</v>
      </c>
      <c r="G475">
        <v>4.8</v>
      </c>
      <c r="H475" s="1">
        <v>26108</v>
      </c>
      <c r="I475" t="s">
        <v>31</v>
      </c>
      <c r="J475">
        <v>80206</v>
      </c>
      <c r="K475" t="s">
        <v>31</v>
      </c>
      <c r="L475" s="3" t="s">
        <v>18</v>
      </c>
      <c r="M475" cm="1">
        <f t="array" ref="M475">_xlfn.IFS(L474="A", 4, L474="B", 3, L474="C", 2, L474="D", 1)</f>
        <v>2</v>
      </c>
    </row>
    <row r="476" spans="1:13" hidden="1" x14ac:dyDescent="0.2">
      <c r="A476">
        <v>2023</v>
      </c>
      <c r="B476">
        <v>80206</v>
      </c>
      <c r="C476" t="s">
        <v>86</v>
      </c>
      <c r="D476" t="s">
        <v>96</v>
      </c>
      <c r="E476" t="s">
        <v>15</v>
      </c>
      <c r="F476" t="s">
        <v>16</v>
      </c>
      <c r="G476">
        <v>4.8</v>
      </c>
      <c r="H476" s="1">
        <v>26108</v>
      </c>
      <c r="I476" t="s">
        <v>32</v>
      </c>
      <c r="J476">
        <v>80206</v>
      </c>
      <c r="K476" t="s">
        <v>32</v>
      </c>
      <c r="L476" s="3" t="s">
        <v>23</v>
      </c>
      <c r="M476" cm="1">
        <f t="array" ref="M476">_xlfn.IFS(L475="A", 4, L475="B", 3, L475="C", 2, L475="D", 1)</f>
        <v>4</v>
      </c>
    </row>
    <row r="477" spans="1:13" hidden="1" x14ac:dyDescent="0.2">
      <c r="A477">
        <v>2023</v>
      </c>
      <c r="B477">
        <v>80206</v>
      </c>
      <c r="C477" t="s">
        <v>86</v>
      </c>
      <c r="D477" t="s">
        <v>96</v>
      </c>
      <c r="E477" t="s">
        <v>15</v>
      </c>
      <c r="F477" t="s">
        <v>16</v>
      </c>
      <c r="G477">
        <v>4.8</v>
      </c>
      <c r="H477" s="1">
        <v>26108</v>
      </c>
      <c r="I477" t="s">
        <v>33</v>
      </c>
      <c r="J477">
        <v>80206</v>
      </c>
      <c r="K477" t="s">
        <v>33</v>
      </c>
      <c r="L477" s="3" t="s">
        <v>21</v>
      </c>
      <c r="M477" cm="1">
        <f t="array" ref="M477">_xlfn.IFS(L476="A", 4, L476="B", 3, L476="C", 2, L476="D", 1)</f>
        <v>1</v>
      </c>
    </row>
    <row r="478" spans="1:13" hidden="1" x14ac:dyDescent="0.2">
      <c r="A478">
        <v>2023</v>
      </c>
      <c r="B478">
        <v>80206</v>
      </c>
      <c r="C478" t="s">
        <v>13</v>
      </c>
      <c r="D478" t="s">
        <v>97</v>
      </c>
      <c r="E478" t="s">
        <v>15</v>
      </c>
      <c r="F478" t="s">
        <v>16</v>
      </c>
      <c r="G478">
        <v>28.3</v>
      </c>
      <c r="H478" s="1">
        <v>26108</v>
      </c>
      <c r="I478" t="s">
        <v>27</v>
      </c>
      <c r="J478">
        <v>80206</v>
      </c>
      <c r="K478" t="s">
        <v>27</v>
      </c>
      <c r="L478" s="3" t="s">
        <v>21</v>
      </c>
      <c r="M478" cm="1">
        <f t="array" ref="M478">_xlfn.IFS(L477="A", 4, L477="B", 3, L477="C", 2, L477="D", 1)</f>
        <v>2</v>
      </c>
    </row>
    <row r="479" spans="1:13" hidden="1" x14ac:dyDescent="0.2">
      <c r="A479">
        <v>2023</v>
      </c>
      <c r="B479">
        <v>80206</v>
      </c>
      <c r="C479" t="s">
        <v>13</v>
      </c>
      <c r="D479" t="s">
        <v>97</v>
      </c>
      <c r="E479" t="s">
        <v>15</v>
      </c>
      <c r="F479" t="s">
        <v>16</v>
      </c>
      <c r="G479">
        <v>28.3</v>
      </c>
      <c r="H479" s="1">
        <v>26108</v>
      </c>
      <c r="I479" t="s">
        <v>31</v>
      </c>
      <c r="J479">
        <v>80206</v>
      </c>
      <c r="K479" t="s">
        <v>31</v>
      </c>
      <c r="L479" s="3" t="s">
        <v>18</v>
      </c>
      <c r="M479" cm="1">
        <f t="array" ref="M479">_xlfn.IFS(L478="A", 4, L478="B", 3, L478="C", 2, L478="D", 1)</f>
        <v>2</v>
      </c>
    </row>
    <row r="480" spans="1:13" hidden="1" x14ac:dyDescent="0.2">
      <c r="A480">
        <v>2023</v>
      </c>
      <c r="B480">
        <v>80206</v>
      </c>
      <c r="C480" t="s">
        <v>13</v>
      </c>
      <c r="D480" t="s">
        <v>97</v>
      </c>
      <c r="E480" t="s">
        <v>15</v>
      </c>
      <c r="F480" t="s">
        <v>16</v>
      </c>
      <c r="G480">
        <v>28.3</v>
      </c>
      <c r="H480" s="1">
        <v>26108</v>
      </c>
      <c r="I480" t="s">
        <v>32</v>
      </c>
      <c r="J480">
        <v>80206</v>
      </c>
      <c r="K480" t="s">
        <v>32</v>
      </c>
      <c r="L480" s="3" t="s">
        <v>23</v>
      </c>
      <c r="M480" cm="1">
        <f t="array" ref="M480">_xlfn.IFS(L479="A", 4, L479="B", 3, L479="C", 2, L479="D", 1)</f>
        <v>4</v>
      </c>
    </row>
    <row r="481" spans="1:13" hidden="1" x14ac:dyDescent="0.2">
      <c r="A481">
        <v>2023</v>
      </c>
      <c r="B481">
        <v>80206</v>
      </c>
      <c r="C481" t="s">
        <v>13</v>
      </c>
      <c r="D481" t="s">
        <v>97</v>
      </c>
      <c r="E481" t="s">
        <v>15</v>
      </c>
      <c r="F481" t="s">
        <v>16</v>
      </c>
      <c r="G481">
        <v>28.3</v>
      </c>
      <c r="H481" s="1">
        <v>26108</v>
      </c>
      <c r="I481" t="s">
        <v>33</v>
      </c>
      <c r="J481">
        <v>80206</v>
      </c>
      <c r="K481" t="s">
        <v>33</v>
      </c>
      <c r="L481" s="3" t="s">
        <v>21</v>
      </c>
      <c r="M481" cm="1">
        <f t="array" ref="M481">_xlfn.IFS(L480="A", 4, L480="B", 3, L480="C", 2, L480="D", 1)</f>
        <v>1</v>
      </c>
    </row>
    <row r="482" spans="1:13" hidden="1" x14ac:dyDescent="0.2">
      <c r="A482">
        <v>2023</v>
      </c>
      <c r="B482">
        <v>80206</v>
      </c>
      <c r="C482" t="s">
        <v>86</v>
      </c>
      <c r="D482" t="s">
        <v>98</v>
      </c>
      <c r="E482" t="s">
        <v>15</v>
      </c>
      <c r="F482" t="s">
        <v>16</v>
      </c>
      <c r="G482">
        <v>5.0999999999999996</v>
      </c>
      <c r="H482" s="1">
        <v>26108</v>
      </c>
      <c r="I482" t="s">
        <v>27</v>
      </c>
      <c r="J482">
        <v>80206</v>
      </c>
      <c r="K482" t="s">
        <v>27</v>
      </c>
      <c r="L482" s="3" t="s">
        <v>21</v>
      </c>
      <c r="M482" cm="1">
        <f t="array" ref="M482">_xlfn.IFS(L481="A", 4, L481="B", 3, L481="C", 2, L481="D", 1)</f>
        <v>2</v>
      </c>
    </row>
    <row r="483" spans="1:13" hidden="1" x14ac:dyDescent="0.2">
      <c r="A483">
        <v>2023</v>
      </c>
      <c r="B483">
        <v>80206</v>
      </c>
      <c r="C483" t="s">
        <v>86</v>
      </c>
      <c r="D483" t="s">
        <v>98</v>
      </c>
      <c r="E483" t="s">
        <v>15</v>
      </c>
      <c r="F483" t="s">
        <v>16</v>
      </c>
      <c r="G483">
        <v>5.0999999999999996</v>
      </c>
      <c r="H483" s="1">
        <v>26108</v>
      </c>
      <c r="I483" t="s">
        <v>31</v>
      </c>
      <c r="J483">
        <v>80206</v>
      </c>
      <c r="K483" t="s">
        <v>31</v>
      </c>
      <c r="L483" s="3" t="s">
        <v>18</v>
      </c>
      <c r="M483" cm="1">
        <f t="array" ref="M483">_xlfn.IFS(L482="A", 4, L482="B", 3, L482="C", 2, L482="D", 1)</f>
        <v>2</v>
      </c>
    </row>
    <row r="484" spans="1:13" hidden="1" x14ac:dyDescent="0.2">
      <c r="A484">
        <v>2023</v>
      </c>
      <c r="B484">
        <v>80206</v>
      </c>
      <c r="C484" t="s">
        <v>86</v>
      </c>
      <c r="D484" t="s">
        <v>98</v>
      </c>
      <c r="E484" t="s">
        <v>15</v>
      </c>
      <c r="F484" t="s">
        <v>16</v>
      </c>
      <c r="G484">
        <v>5.0999999999999996</v>
      </c>
      <c r="H484" s="1">
        <v>26108</v>
      </c>
      <c r="I484" t="s">
        <v>32</v>
      </c>
      <c r="J484">
        <v>80206</v>
      </c>
      <c r="K484" t="s">
        <v>32</v>
      </c>
      <c r="L484" s="3" t="s">
        <v>23</v>
      </c>
      <c r="M484" cm="1">
        <f t="array" ref="M484">_xlfn.IFS(L483="A", 4, L483="B", 3, L483="C", 2, L483="D", 1)</f>
        <v>4</v>
      </c>
    </row>
    <row r="485" spans="1:13" hidden="1" x14ac:dyDescent="0.2">
      <c r="A485">
        <v>2023</v>
      </c>
      <c r="B485">
        <v>80206</v>
      </c>
      <c r="C485" t="s">
        <v>86</v>
      </c>
      <c r="D485" t="s">
        <v>98</v>
      </c>
      <c r="E485" t="s">
        <v>15</v>
      </c>
      <c r="F485" t="s">
        <v>16</v>
      </c>
      <c r="G485">
        <v>5.0999999999999996</v>
      </c>
      <c r="H485" s="1">
        <v>26108</v>
      </c>
      <c r="I485" t="s">
        <v>33</v>
      </c>
      <c r="J485">
        <v>80206</v>
      </c>
      <c r="K485" t="s">
        <v>33</v>
      </c>
      <c r="L485" s="3" t="s">
        <v>21</v>
      </c>
      <c r="M485" cm="1">
        <f t="array" ref="M485">_xlfn.IFS(L484="A", 4, L484="B", 3, L484="C", 2, L484="D", 1)</f>
        <v>1</v>
      </c>
    </row>
    <row r="486" spans="1:13" hidden="1" x14ac:dyDescent="0.2">
      <c r="A486">
        <v>2023</v>
      </c>
      <c r="B486">
        <v>80206</v>
      </c>
      <c r="C486" t="s">
        <v>77</v>
      </c>
      <c r="D486" t="s">
        <v>99</v>
      </c>
      <c r="E486" t="s">
        <v>15</v>
      </c>
      <c r="F486" t="s">
        <v>16</v>
      </c>
      <c r="G486">
        <v>12.5</v>
      </c>
      <c r="H486" s="1">
        <v>26108</v>
      </c>
      <c r="I486" t="s">
        <v>27</v>
      </c>
      <c r="J486">
        <v>80206</v>
      </c>
      <c r="K486" t="s">
        <v>27</v>
      </c>
      <c r="L486" s="3" t="s">
        <v>21</v>
      </c>
      <c r="M486" cm="1">
        <f t="array" ref="M486">_xlfn.IFS(L485="A", 4, L485="B", 3, L485="C", 2, L485="D", 1)</f>
        <v>2</v>
      </c>
    </row>
    <row r="487" spans="1:13" hidden="1" x14ac:dyDescent="0.2">
      <c r="A487">
        <v>2023</v>
      </c>
      <c r="B487">
        <v>80206</v>
      </c>
      <c r="C487" t="s">
        <v>77</v>
      </c>
      <c r="D487" t="s">
        <v>99</v>
      </c>
      <c r="E487" t="s">
        <v>15</v>
      </c>
      <c r="F487" t="s">
        <v>16</v>
      </c>
      <c r="G487">
        <v>12.5</v>
      </c>
      <c r="H487" s="1">
        <v>26108</v>
      </c>
      <c r="I487" t="s">
        <v>31</v>
      </c>
      <c r="J487">
        <v>80206</v>
      </c>
      <c r="K487" t="s">
        <v>31</v>
      </c>
      <c r="L487" s="3" t="s">
        <v>18</v>
      </c>
      <c r="M487" cm="1">
        <f t="array" ref="M487">_xlfn.IFS(L486="A", 4, L486="B", 3, L486="C", 2, L486="D", 1)</f>
        <v>2</v>
      </c>
    </row>
    <row r="488" spans="1:13" hidden="1" x14ac:dyDescent="0.2">
      <c r="A488">
        <v>2023</v>
      </c>
      <c r="B488">
        <v>80206</v>
      </c>
      <c r="C488" t="s">
        <v>77</v>
      </c>
      <c r="D488" t="s">
        <v>99</v>
      </c>
      <c r="E488" t="s">
        <v>15</v>
      </c>
      <c r="F488" t="s">
        <v>16</v>
      </c>
      <c r="G488">
        <v>12.5</v>
      </c>
      <c r="H488" s="1">
        <v>26108</v>
      </c>
      <c r="I488" t="s">
        <v>32</v>
      </c>
      <c r="J488">
        <v>80206</v>
      </c>
      <c r="K488" t="s">
        <v>32</v>
      </c>
      <c r="L488" s="3" t="s">
        <v>23</v>
      </c>
      <c r="M488" cm="1">
        <f t="array" ref="M488">_xlfn.IFS(L487="A", 4, L487="B", 3, L487="C", 2, L487="D", 1)</f>
        <v>4</v>
      </c>
    </row>
    <row r="489" spans="1:13" hidden="1" x14ac:dyDescent="0.2">
      <c r="A489">
        <v>2023</v>
      </c>
      <c r="B489">
        <v>80206</v>
      </c>
      <c r="C489" t="s">
        <v>77</v>
      </c>
      <c r="D489" t="s">
        <v>99</v>
      </c>
      <c r="E489" t="s">
        <v>15</v>
      </c>
      <c r="F489" t="s">
        <v>16</v>
      </c>
      <c r="G489">
        <v>12.5</v>
      </c>
      <c r="H489" s="1">
        <v>26108</v>
      </c>
      <c r="I489" t="s">
        <v>33</v>
      </c>
      <c r="J489">
        <v>80206</v>
      </c>
      <c r="K489" t="s">
        <v>33</v>
      </c>
      <c r="L489" s="3" t="s">
        <v>21</v>
      </c>
      <c r="M489" cm="1">
        <f t="array" ref="M489">_xlfn.IFS(L488="A", 4, L488="B", 3, L488="C", 2, L488="D", 1)</f>
        <v>1</v>
      </c>
    </row>
    <row r="490" spans="1:13" hidden="1" x14ac:dyDescent="0.2">
      <c r="A490">
        <v>2022</v>
      </c>
      <c r="B490">
        <v>80206</v>
      </c>
      <c r="C490" t="s">
        <v>74</v>
      </c>
      <c r="D490" t="s">
        <v>100</v>
      </c>
      <c r="E490" t="s">
        <v>15</v>
      </c>
      <c r="F490" t="s">
        <v>16</v>
      </c>
      <c r="G490">
        <v>74.400000000000006</v>
      </c>
      <c r="H490" s="1">
        <v>26108</v>
      </c>
      <c r="I490" t="s">
        <v>27</v>
      </c>
      <c r="J490">
        <v>80206</v>
      </c>
      <c r="K490" t="s">
        <v>27</v>
      </c>
      <c r="L490" s="3" t="s">
        <v>21</v>
      </c>
      <c r="M490" cm="1">
        <f t="array" ref="M490">_xlfn.IFS(L489="A", 4, L489="B", 3, L489="C", 2, L489="D", 1)</f>
        <v>2</v>
      </c>
    </row>
    <row r="491" spans="1:13" hidden="1" x14ac:dyDescent="0.2">
      <c r="A491">
        <v>2022</v>
      </c>
      <c r="B491">
        <v>80206</v>
      </c>
      <c r="C491" t="s">
        <v>74</v>
      </c>
      <c r="D491" t="s">
        <v>100</v>
      </c>
      <c r="E491" t="s">
        <v>15</v>
      </c>
      <c r="F491" t="s">
        <v>16</v>
      </c>
      <c r="G491">
        <v>74.400000000000006</v>
      </c>
      <c r="H491" s="1">
        <v>26108</v>
      </c>
      <c r="I491" t="s">
        <v>31</v>
      </c>
      <c r="J491">
        <v>80206</v>
      </c>
      <c r="K491" t="s">
        <v>31</v>
      </c>
      <c r="L491" s="3" t="s">
        <v>18</v>
      </c>
      <c r="M491" cm="1">
        <f t="array" ref="M491">_xlfn.IFS(L490="A", 4, L490="B", 3, L490="C", 2, L490="D", 1)</f>
        <v>2</v>
      </c>
    </row>
    <row r="492" spans="1:13" hidden="1" x14ac:dyDescent="0.2">
      <c r="A492">
        <v>2022</v>
      </c>
      <c r="B492">
        <v>80206</v>
      </c>
      <c r="C492" t="s">
        <v>74</v>
      </c>
      <c r="D492" t="s">
        <v>100</v>
      </c>
      <c r="E492" t="s">
        <v>15</v>
      </c>
      <c r="F492" t="s">
        <v>16</v>
      </c>
      <c r="G492">
        <v>74.400000000000006</v>
      </c>
      <c r="H492" s="1">
        <v>26108</v>
      </c>
      <c r="I492" t="s">
        <v>32</v>
      </c>
      <c r="J492">
        <v>80206</v>
      </c>
      <c r="K492" t="s">
        <v>32</v>
      </c>
      <c r="L492" s="3" t="s">
        <v>23</v>
      </c>
      <c r="M492" cm="1">
        <f t="array" ref="M492">_xlfn.IFS(L491="A", 4, L491="B", 3, L491="C", 2, L491="D", 1)</f>
        <v>4</v>
      </c>
    </row>
    <row r="493" spans="1:13" hidden="1" x14ac:dyDescent="0.2">
      <c r="A493">
        <v>2022</v>
      </c>
      <c r="B493">
        <v>80206</v>
      </c>
      <c r="C493" t="s">
        <v>74</v>
      </c>
      <c r="D493" t="s">
        <v>100</v>
      </c>
      <c r="E493" t="s">
        <v>15</v>
      </c>
      <c r="F493" t="s">
        <v>16</v>
      </c>
      <c r="G493">
        <v>74.400000000000006</v>
      </c>
      <c r="H493" s="1">
        <v>26108</v>
      </c>
      <c r="I493" t="s">
        <v>33</v>
      </c>
      <c r="J493">
        <v>80206</v>
      </c>
      <c r="K493" t="s">
        <v>33</v>
      </c>
      <c r="L493" s="3" t="s">
        <v>21</v>
      </c>
      <c r="M493" cm="1">
        <f t="array" ref="M493">_xlfn.IFS(L492="A", 4, L492="B", 3, L492="C", 2, L492="D", 1)</f>
        <v>1</v>
      </c>
    </row>
    <row r="494" spans="1:13" hidden="1" x14ac:dyDescent="0.2">
      <c r="A494">
        <v>2023</v>
      </c>
      <c r="B494">
        <v>80206</v>
      </c>
      <c r="C494" t="s">
        <v>94</v>
      </c>
      <c r="D494" t="s">
        <v>101</v>
      </c>
      <c r="E494" t="s">
        <v>15</v>
      </c>
      <c r="F494" t="s">
        <v>16</v>
      </c>
      <c r="G494">
        <v>14.2</v>
      </c>
      <c r="H494" s="1">
        <v>26108</v>
      </c>
      <c r="I494" t="s">
        <v>27</v>
      </c>
      <c r="J494">
        <v>80206</v>
      </c>
      <c r="K494" t="s">
        <v>27</v>
      </c>
      <c r="L494" s="3" t="s">
        <v>21</v>
      </c>
      <c r="M494" cm="1">
        <f t="array" ref="M494">_xlfn.IFS(L493="A", 4, L493="B", 3, L493="C", 2, L493="D", 1)</f>
        <v>2</v>
      </c>
    </row>
    <row r="495" spans="1:13" hidden="1" x14ac:dyDescent="0.2">
      <c r="A495">
        <v>2023</v>
      </c>
      <c r="B495">
        <v>80206</v>
      </c>
      <c r="C495" t="s">
        <v>94</v>
      </c>
      <c r="D495" t="s">
        <v>101</v>
      </c>
      <c r="E495" t="s">
        <v>15</v>
      </c>
      <c r="F495" t="s">
        <v>16</v>
      </c>
      <c r="G495">
        <v>14.2</v>
      </c>
      <c r="H495" s="1">
        <v>26108</v>
      </c>
      <c r="I495" t="s">
        <v>31</v>
      </c>
      <c r="J495">
        <v>80206</v>
      </c>
      <c r="K495" t="s">
        <v>31</v>
      </c>
      <c r="L495" s="3" t="s">
        <v>18</v>
      </c>
      <c r="M495" cm="1">
        <f t="array" ref="M495">_xlfn.IFS(L494="A", 4, L494="B", 3, L494="C", 2, L494="D", 1)</f>
        <v>2</v>
      </c>
    </row>
    <row r="496" spans="1:13" hidden="1" x14ac:dyDescent="0.2">
      <c r="A496">
        <v>2023</v>
      </c>
      <c r="B496">
        <v>80206</v>
      </c>
      <c r="C496" t="s">
        <v>94</v>
      </c>
      <c r="D496" t="s">
        <v>101</v>
      </c>
      <c r="E496" t="s">
        <v>15</v>
      </c>
      <c r="F496" t="s">
        <v>16</v>
      </c>
      <c r="G496">
        <v>14.2</v>
      </c>
      <c r="H496" s="1">
        <v>26108</v>
      </c>
      <c r="I496" t="s">
        <v>32</v>
      </c>
      <c r="J496">
        <v>80206</v>
      </c>
      <c r="K496" t="s">
        <v>32</v>
      </c>
      <c r="L496" s="3" t="s">
        <v>23</v>
      </c>
      <c r="M496" cm="1">
        <f t="array" ref="M496">_xlfn.IFS(L495="A", 4, L495="B", 3, L495="C", 2, L495="D", 1)</f>
        <v>4</v>
      </c>
    </row>
    <row r="497" spans="1:13" hidden="1" x14ac:dyDescent="0.2">
      <c r="A497">
        <v>2023</v>
      </c>
      <c r="B497">
        <v>80206</v>
      </c>
      <c r="C497" t="s">
        <v>94</v>
      </c>
      <c r="D497" t="s">
        <v>101</v>
      </c>
      <c r="E497" t="s">
        <v>15</v>
      </c>
      <c r="F497" t="s">
        <v>16</v>
      </c>
      <c r="G497">
        <v>14.2</v>
      </c>
      <c r="H497" s="1">
        <v>26108</v>
      </c>
      <c r="I497" t="s">
        <v>33</v>
      </c>
      <c r="J497">
        <v>80206</v>
      </c>
      <c r="K497" t="s">
        <v>33</v>
      </c>
      <c r="L497" s="3" t="s">
        <v>21</v>
      </c>
      <c r="M497" cm="1">
        <f t="array" ref="M497">_xlfn.IFS(L496="A", 4, L496="B", 3, L496="C", 2, L496="D", 1)</f>
        <v>1</v>
      </c>
    </row>
    <row r="498" spans="1:13" hidden="1" x14ac:dyDescent="0.2">
      <c r="A498">
        <v>2023</v>
      </c>
      <c r="B498">
        <v>80206</v>
      </c>
      <c r="C498" t="s">
        <v>86</v>
      </c>
      <c r="D498" t="s">
        <v>102</v>
      </c>
      <c r="E498" t="s">
        <v>15</v>
      </c>
      <c r="F498" t="s">
        <v>16</v>
      </c>
      <c r="G498">
        <v>7</v>
      </c>
      <c r="H498" s="1">
        <v>26108</v>
      </c>
      <c r="I498" t="s">
        <v>27</v>
      </c>
      <c r="J498">
        <v>80206</v>
      </c>
      <c r="K498" t="s">
        <v>27</v>
      </c>
      <c r="L498" s="3" t="s">
        <v>21</v>
      </c>
      <c r="M498" cm="1">
        <f t="array" ref="M498">_xlfn.IFS(L497="A", 4, L497="B", 3, L497="C", 2, L497="D", 1)</f>
        <v>2</v>
      </c>
    </row>
    <row r="499" spans="1:13" hidden="1" x14ac:dyDescent="0.2">
      <c r="A499">
        <v>2023</v>
      </c>
      <c r="B499">
        <v>80206</v>
      </c>
      <c r="C499" t="s">
        <v>86</v>
      </c>
      <c r="D499" t="s">
        <v>102</v>
      </c>
      <c r="E499" t="s">
        <v>15</v>
      </c>
      <c r="F499" t="s">
        <v>16</v>
      </c>
      <c r="G499">
        <v>7</v>
      </c>
      <c r="H499" s="1">
        <v>26108</v>
      </c>
      <c r="I499" t="s">
        <v>31</v>
      </c>
      <c r="J499">
        <v>80206</v>
      </c>
      <c r="K499" t="s">
        <v>31</v>
      </c>
      <c r="L499" s="3" t="s">
        <v>18</v>
      </c>
      <c r="M499" cm="1">
        <f t="array" ref="M499">_xlfn.IFS(L498="A", 4, L498="B", 3, L498="C", 2, L498="D", 1)</f>
        <v>2</v>
      </c>
    </row>
    <row r="500" spans="1:13" hidden="1" x14ac:dyDescent="0.2">
      <c r="A500">
        <v>2023</v>
      </c>
      <c r="B500">
        <v>80206</v>
      </c>
      <c r="C500" t="s">
        <v>86</v>
      </c>
      <c r="D500" t="s">
        <v>102</v>
      </c>
      <c r="E500" t="s">
        <v>15</v>
      </c>
      <c r="F500" t="s">
        <v>16</v>
      </c>
      <c r="G500">
        <v>7</v>
      </c>
      <c r="H500" s="1">
        <v>26108</v>
      </c>
      <c r="I500" t="s">
        <v>32</v>
      </c>
      <c r="J500">
        <v>80206</v>
      </c>
      <c r="K500" t="s">
        <v>32</v>
      </c>
      <c r="L500" s="3" t="s">
        <v>23</v>
      </c>
      <c r="M500" cm="1">
        <f t="array" ref="M500">_xlfn.IFS(L499="A", 4, L499="B", 3, L499="C", 2, L499="D", 1)</f>
        <v>4</v>
      </c>
    </row>
    <row r="501" spans="1:13" hidden="1" x14ac:dyDescent="0.2">
      <c r="A501">
        <v>2023</v>
      </c>
      <c r="B501">
        <v>80206</v>
      </c>
      <c r="C501" t="s">
        <v>86</v>
      </c>
      <c r="D501" t="s">
        <v>102</v>
      </c>
      <c r="E501" t="s">
        <v>15</v>
      </c>
      <c r="F501" t="s">
        <v>16</v>
      </c>
      <c r="G501">
        <v>7</v>
      </c>
      <c r="H501" s="1">
        <v>26108</v>
      </c>
      <c r="I501" t="s">
        <v>33</v>
      </c>
      <c r="J501">
        <v>80206</v>
      </c>
      <c r="K501" t="s">
        <v>33</v>
      </c>
      <c r="L501" s="3" t="s">
        <v>21</v>
      </c>
      <c r="M501" cm="1">
        <f t="array" ref="M501">_xlfn.IFS(L500="A", 4, L500="B", 3, L500="C", 2, L500="D", 1)</f>
        <v>1</v>
      </c>
    </row>
    <row r="502" spans="1:13" hidden="1" x14ac:dyDescent="0.2">
      <c r="A502">
        <v>2023</v>
      </c>
      <c r="B502">
        <v>80206</v>
      </c>
      <c r="C502" t="s">
        <v>13</v>
      </c>
      <c r="D502" t="s">
        <v>103</v>
      </c>
      <c r="E502" t="s">
        <v>15</v>
      </c>
      <c r="F502" t="s">
        <v>16</v>
      </c>
      <c r="G502">
        <v>19.5</v>
      </c>
      <c r="H502" s="1">
        <v>26108</v>
      </c>
      <c r="I502" t="s">
        <v>27</v>
      </c>
      <c r="J502">
        <v>80206</v>
      </c>
      <c r="K502" t="s">
        <v>27</v>
      </c>
      <c r="L502" s="3" t="s">
        <v>21</v>
      </c>
      <c r="M502" cm="1">
        <f t="array" ref="M502">_xlfn.IFS(L501="A", 4, L501="B", 3, L501="C", 2, L501="D", 1)</f>
        <v>2</v>
      </c>
    </row>
    <row r="503" spans="1:13" hidden="1" x14ac:dyDescent="0.2">
      <c r="A503">
        <v>2023</v>
      </c>
      <c r="B503">
        <v>80206</v>
      </c>
      <c r="C503" t="s">
        <v>13</v>
      </c>
      <c r="D503" t="s">
        <v>103</v>
      </c>
      <c r="E503" t="s">
        <v>15</v>
      </c>
      <c r="F503" t="s">
        <v>16</v>
      </c>
      <c r="G503">
        <v>19.5</v>
      </c>
      <c r="H503" s="1">
        <v>26108</v>
      </c>
      <c r="I503" t="s">
        <v>31</v>
      </c>
      <c r="J503">
        <v>80206</v>
      </c>
      <c r="K503" t="s">
        <v>31</v>
      </c>
      <c r="L503" s="3" t="s">
        <v>18</v>
      </c>
      <c r="M503" cm="1">
        <f t="array" ref="M503">_xlfn.IFS(L502="A", 4, L502="B", 3, L502="C", 2, L502="D", 1)</f>
        <v>2</v>
      </c>
    </row>
    <row r="504" spans="1:13" hidden="1" x14ac:dyDescent="0.2">
      <c r="A504">
        <v>2023</v>
      </c>
      <c r="B504">
        <v>80206</v>
      </c>
      <c r="C504" t="s">
        <v>13</v>
      </c>
      <c r="D504" t="s">
        <v>103</v>
      </c>
      <c r="E504" t="s">
        <v>15</v>
      </c>
      <c r="F504" t="s">
        <v>16</v>
      </c>
      <c r="G504">
        <v>19.5</v>
      </c>
      <c r="H504" s="1">
        <v>26108</v>
      </c>
      <c r="I504" t="s">
        <v>32</v>
      </c>
      <c r="J504">
        <v>80206</v>
      </c>
      <c r="K504" t="s">
        <v>32</v>
      </c>
      <c r="L504" s="3" t="s">
        <v>23</v>
      </c>
      <c r="M504" cm="1">
        <f t="array" ref="M504">_xlfn.IFS(L503="A", 4, L503="B", 3, L503="C", 2, L503="D", 1)</f>
        <v>4</v>
      </c>
    </row>
    <row r="505" spans="1:13" hidden="1" x14ac:dyDescent="0.2">
      <c r="A505">
        <v>2023</v>
      </c>
      <c r="B505">
        <v>80206</v>
      </c>
      <c r="C505" t="s">
        <v>13</v>
      </c>
      <c r="D505" t="s">
        <v>103</v>
      </c>
      <c r="E505" t="s">
        <v>15</v>
      </c>
      <c r="F505" t="s">
        <v>16</v>
      </c>
      <c r="G505">
        <v>19.5</v>
      </c>
      <c r="H505" s="1">
        <v>26108</v>
      </c>
      <c r="I505" t="s">
        <v>33</v>
      </c>
      <c r="J505">
        <v>80206</v>
      </c>
      <c r="K505" t="s">
        <v>33</v>
      </c>
      <c r="L505" s="3" t="s">
        <v>21</v>
      </c>
      <c r="M505" cm="1">
        <f t="array" ref="M505">_xlfn.IFS(L504="A", 4, L504="B", 3, L504="C", 2, L504="D", 1)</f>
        <v>1</v>
      </c>
    </row>
    <row r="506" spans="1:13" hidden="1" x14ac:dyDescent="0.2">
      <c r="A506">
        <v>2023</v>
      </c>
      <c r="B506">
        <v>80206</v>
      </c>
      <c r="C506" t="s">
        <v>94</v>
      </c>
      <c r="D506" t="s">
        <v>104</v>
      </c>
      <c r="E506" t="s">
        <v>15</v>
      </c>
      <c r="F506" t="s">
        <v>16</v>
      </c>
      <c r="G506">
        <v>9.1999999999999993</v>
      </c>
      <c r="H506" s="1">
        <v>26108</v>
      </c>
      <c r="I506" t="s">
        <v>27</v>
      </c>
      <c r="J506">
        <v>80206</v>
      </c>
      <c r="K506" t="s">
        <v>27</v>
      </c>
      <c r="L506" s="3" t="s">
        <v>21</v>
      </c>
      <c r="M506" cm="1">
        <f t="array" ref="M506">_xlfn.IFS(L505="A", 4, L505="B", 3, L505="C", 2, L505="D", 1)</f>
        <v>2</v>
      </c>
    </row>
    <row r="507" spans="1:13" hidden="1" x14ac:dyDescent="0.2">
      <c r="A507">
        <v>2023</v>
      </c>
      <c r="B507">
        <v>80206</v>
      </c>
      <c r="C507" t="s">
        <v>94</v>
      </c>
      <c r="D507" t="s">
        <v>104</v>
      </c>
      <c r="E507" t="s">
        <v>15</v>
      </c>
      <c r="F507" t="s">
        <v>16</v>
      </c>
      <c r="G507">
        <v>9.1999999999999993</v>
      </c>
      <c r="H507" s="1">
        <v>26108</v>
      </c>
      <c r="I507" t="s">
        <v>31</v>
      </c>
      <c r="J507">
        <v>80206</v>
      </c>
      <c r="K507" t="s">
        <v>31</v>
      </c>
      <c r="L507" s="3" t="s">
        <v>18</v>
      </c>
      <c r="M507" cm="1">
        <f t="array" ref="M507">_xlfn.IFS(L506="A", 4, L506="B", 3, L506="C", 2, L506="D", 1)</f>
        <v>2</v>
      </c>
    </row>
    <row r="508" spans="1:13" hidden="1" x14ac:dyDescent="0.2">
      <c r="A508">
        <v>2023</v>
      </c>
      <c r="B508">
        <v>80206</v>
      </c>
      <c r="C508" t="s">
        <v>94</v>
      </c>
      <c r="D508" t="s">
        <v>104</v>
      </c>
      <c r="E508" t="s">
        <v>15</v>
      </c>
      <c r="F508" t="s">
        <v>16</v>
      </c>
      <c r="G508">
        <v>9.1999999999999993</v>
      </c>
      <c r="H508" s="1">
        <v>26108</v>
      </c>
      <c r="I508" t="s">
        <v>32</v>
      </c>
      <c r="J508">
        <v>80206</v>
      </c>
      <c r="K508" t="s">
        <v>32</v>
      </c>
      <c r="L508" s="3" t="s">
        <v>23</v>
      </c>
      <c r="M508" cm="1">
        <f t="array" ref="M508">_xlfn.IFS(L507="A", 4, L507="B", 3, L507="C", 2, L507="D", 1)</f>
        <v>4</v>
      </c>
    </row>
    <row r="509" spans="1:13" hidden="1" x14ac:dyDescent="0.2">
      <c r="A509">
        <v>2023</v>
      </c>
      <c r="B509">
        <v>80206</v>
      </c>
      <c r="C509" t="s">
        <v>94</v>
      </c>
      <c r="D509" t="s">
        <v>104</v>
      </c>
      <c r="E509" t="s">
        <v>15</v>
      </c>
      <c r="F509" t="s">
        <v>16</v>
      </c>
      <c r="G509">
        <v>9.1999999999999993</v>
      </c>
      <c r="H509" s="1">
        <v>26108</v>
      </c>
      <c r="I509" t="s">
        <v>33</v>
      </c>
      <c r="J509">
        <v>80206</v>
      </c>
      <c r="K509" t="s">
        <v>33</v>
      </c>
      <c r="L509" s="3" t="s">
        <v>21</v>
      </c>
      <c r="M509" cm="1">
        <f t="array" ref="M509">_xlfn.IFS(L508="A", 4, L508="B", 3, L508="C", 2, L508="D", 1)</f>
        <v>1</v>
      </c>
    </row>
    <row r="510" spans="1:13" hidden="1" x14ac:dyDescent="0.2">
      <c r="A510">
        <v>2023</v>
      </c>
      <c r="B510">
        <v>80206</v>
      </c>
      <c r="C510" t="s">
        <v>86</v>
      </c>
      <c r="D510" t="s">
        <v>105</v>
      </c>
      <c r="E510" t="s">
        <v>15</v>
      </c>
      <c r="F510" t="s">
        <v>16</v>
      </c>
      <c r="G510">
        <v>2</v>
      </c>
      <c r="H510" s="1">
        <v>26108</v>
      </c>
      <c r="I510" t="s">
        <v>27</v>
      </c>
      <c r="J510">
        <v>80206</v>
      </c>
      <c r="K510" t="s">
        <v>27</v>
      </c>
      <c r="L510" s="3" t="s">
        <v>21</v>
      </c>
      <c r="M510" cm="1">
        <f t="array" ref="M510">_xlfn.IFS(L509="A", 4, L509="B", 3, L509="C", 2, L509="D", 1)</f>
        <v>2</v>
      </c>
    </row>
    <row r="511" spans="1:13" hidden="1" x14ac:dyDescent="0.2">
      <c r="A511">
        <v>2023</v>
      </c>
      <c r="B511">
        <v>80206</v>
      </c>
      <c r="C511" t="s">
        <v>86</v>
      </c>
      <c r="D511" t="s">
        <v>105</v>
      </c>
      <c r="E511" t="s">
        <v>15</v>
      </c>
      <c r="F511" t="s">
        <v>16</v>
      </c>
      <c r="G511">
        <v>2</v>
      </c>
      <c r="H511" s="1">
        <v>26108</v>
      </c>
      <c r="I511" t="s">
        <v>31</v>
      </c>
      <c r="J511">
        <v>80206</v>
      </c>
      <c r="K511" t="s">
        <v>31</v>
      </c>
      <c r="L511" s="3" t="s">
        <v>18</v>
      </c>
      <c r="M511" cm="1">
        <f t="array" ref="M511">_xlfn.IFS(L510="A", 4, L510="B", 3, L510="C", 2, L510="D", 1)</f>
        <v>2</v>
      </c>
    </row>
    <row r="512" spans="1:13" hidden="1" x14ac:dyDescent="0.2">
      <c r="A512">
        <v>2023</v>
      </c>
      <c r="B512">
        <v>80206</v>
      </c>
      <c r="C512" t="s">
        <v>86</v>
      </c>
      <c r="D512" t="s">
        <v>105</v>
      </c>
      <c r="E512" t="s">
        <v>15</v>
      </c>
      <c r="F512" t="s">
        <v>16</v>
      </c>
      <c r="G512">
        <v>2</v>
      </c>
      <c r="H512" s="1">
        <v>26108</v>
      </c>
      <c r="I512" t="s">
        <v>32</v>
      </c>
      <c r="J512">
        <v>80206</v>
      </c>
      <c r="K512" t="s">
        <v>32</v>
      </c>
      <c r="L512" s="3" t="s">
        <v>23</v>
      </c>
      <c r="M512" cm="1">
        <f t="array" ref="M512">_xlfn.IFS(L511="A", 4, L511="B", 3, L511="C", 2, L511="D", 1)</f>
        <v>4</v>
      </c>
    </row>
    <row r="513" spans="1:13" hidden="1" x14ac:dyDescent="0.2">
      <c r="A513">
        <v>2023</v>
      </c>
      <c r="B513">
        <v>80206</v>
      </c>
      <c r="C513" t="s">
        <v>86</v>
      </c>
      <c r="D513" t="s">
        <v>105</v>
      </c>
      <c r="E513" t="s">
        <v>15</v>
      </c>
      <c r="F513" t="s">
        <v>16</v>
      </c>
      <c r="G513">
        <v>2</v>
      </c>
      <c r="H513" s="1">
        <v>26108</v>
      </c>
      <c r="I513" t="s">
        <v>33</v>
      </c>
      <c r="J513">
        <v>80206</v>
      </c>
      <c r="K513" t="s">
        <v>33</v>
      </c>
      <c r="L513" s="3" t="s">
        <v>21</v>
      </c>
      <c r="M513" cm="1">
        <f t="array" ref="M513">_xlfn.IFS(L512="A", 4, L512="B", 3, L512="C", 2, L512="D", 1)</f>
        <v>1</v>
      </c>
    </row>
    <row r="514" spans="1:13" hidden="1" x14ac:dyDescent="0.2">
      <c r="A514">
        <v>2022</v>
      </c>
      <c r="B514">
        <v>80206</v>
      </c>
      <c r="C514" t="s">
        <v>77</v>
      </c>
      <c r="D514" t="s">
        <v>106</v>
      </c>
      <c r="E514" t="s">
        <v>15</v>
      </c>
      <c r="F514" t="s">
        <v>16</v>
      </c>
      <c r="G514">
        <v>25.9</v>
      </c>
      <c r="H514" s="1">
        <v>26108</v>
      </c>
      <c r="I514" t="s">
        <v>27</v>
      </c>
      <c r="J514">
        <v>80206</v>
      </c>
      <c r="K514" t="s">
        <v>27</v>
      </c>
      <c r="L514" s="3" t="s">
        <v>21</v>
      </c>
      <c r="M514" cm="1">
        <f t="array" ref="M514">_xlfn.IFS(L513="A", 4, L513="B", 3, L513="C", 2, L513="D", 1)</f>
        <v>2</v>
      </c>
    </row>
    <row r="515" spans="1:13" hidden="1" x14ac:dyDescent="0.2">
      <c r="A515">
        <v>2022</v>
      </c>
      <c r="B515">
        <v>80206</v>
      </c>
      <c r="C515" t="s">
        <v>77</v>
      </c>
      <c r="D515" t="s">
        <v>106</v>
      </c>
      <c r="E515" t="s">
        <v>15</v>
      </c>
      <c r="F515" t="s">
        <v>16</v>
      </c>
      <c r="G515">
        <v>25.9</v>
      </c>
      <c r="H515" s="1">
        <v>26108</v>
      </c>
      <c r="I515" t="s">
        <v>31</v>
      </c>
      <c r="J515">
        <v>80206</v>
      </c>
      <c r="K515" t="s">
        <v>31</v>
      </c>
      <c r="L515" s="3" t="s">
        <v>18</v>
      </c>
      <c r="M515" cm="1">
        <f t="array" ref="M515">_xlfn.IFS(L514="A", 4, L514="B", 3, L514="C", 2, L514="D", 1)</f>
        <v>2</v>
      </c>
    </row>
    <row r="516" spans="1:13" hidden="1" x14ac:dyDescent="0.2">
      <c r="A516">
        <v>2022</v>
      </c>
      <c r="B516">
        <v>80206</v>
      </c>
      <c r="C516" t="s">
        <v>77</v>
      </c>
      <c r="D516" t="s">
        <v>106</v>
      </c>
      <c r="E516" t="s">
        <v>15</v>
      </c>
      <c r="F516" t="s">
        <v>16</v>
      </c>
      <c r="G516">
        <v>25.9</v>
      </c>
      <c r="H516" s="1">
        <v>26108</v>
      </c>
      <c r="I516" t="s">
        <v>32</v>
      </c>
      <c r="J516">
        <v>80206</v>
      </c>
      <c r="K516" t="s">
        <v>32</v>
      </c>
      <c r="L516" s="3" t="s">
        <v>23</v>
      </c>
      <c r="M516" cm="1">
        <f t="array" ref="M516">_xlfn.IFS(L515="A", 4, L515="B", 3, L515="C", 2, L515="D", 1)</f>
        <v>4</v>
      </c>
    </row>
    <row r="517" spans="1:13" hidden="1" x14ac:dyDescent="0.2">
      <c r="A517">
        <v>2022</v>
      </c>
      <c r="B517">
        <v>80206</v>
      </c>
      <c r="C517" t="s">
        <v>77</v>
      </c>
      <c r="D517" t="s">
        <v>106</v>
      </c>
      <c r="E517" t="s">
        <v>15</v>
      </c>
      <c r="F517" t="s">
        <v>16</v>
      </c>
      <c r="G517">
        <v>25.9</v>
      </c>
      <c r="H517" s="1">
        <v>26108</v>
      </c>
      <c r="I517" t="s">
        <v>33</v>
      </c>
      <c r="J517">
        <v>80206</v>
      </c>
      <c r="K517" t="s">
        <v>33</v>
      </c>
      <c r="L517" s="3" t="s">
        <v>21</v>
      </c>
      <c r="M517" cm="1">
        <f t="array" ref="M517">_xlfn.IFS(L516="A", 4, L516="B", 3, L516="C", 2, L516="D", 1)</f>
        <v>1</v>
      </c>
    </row>
    <row r="518" spans="1:13" hidden="1" x14ac:dyDescent="0.2">
      <c r="A518">
        <v>2023</v>
      </c>
      <c r="B518">
        <v>80206</v>
      </c>
      <c r="C518" t="s">
        <v>13</v>
      </c>
      <c r="D518" t="s">
        <v>107</v>
      </c>
      <c r="E518" t="s">
        <v>15</v>
      </c>
      <c r="F518" t="s">
        <v>16</v>
      </c>
      <c r="G518">
        <v>2</v>
      </c>
      <c r="H518" s="1">
        <v>26108</v>
      </c>
      <c r="I518" t="s">
        <v>27</v>
      </c>
      <c r="J518">
        <v>80206</v>
      </c>
      <c r="K518" t="s">
        <v>27</v>
      </c>
      <c r="L518" s="3" t="s">
        <v>21</v>
      </c>
      <c r="M518" cm="1">
        <f t="array" ref="M518">_xlfn.IFS(L517="A", 4, L517="B", 3, L517="C", 2, L517="D", 1)</f>
        <v>2</v>
      </c>
    </row>
    <row r="519" spans="1:13" hidden="1" x14ac:dyDescent="0.2">
      <c r="A519">
        <v>2023</v>
      </c>
      <c r="B519">
        <v>80206</v>
      </c>
      <c r="C519" t="s">
        <v>13</v>
      </c>
      <c r="D519" t="s">
        <v>107</v>
      </c>
      <c r="E519" t="s">
        <v>15</v>
      </c>
      <c r="F519" t="s">
        <v>16</v>
      </c>
      <c r="G519">
        <v>2</v>
      </c>
      <c r="H519" s="1">
        <v>26108</v>
      </c>
      <c r="I519" t="s">
        <v>31</v>
      </c>
      <c r="J519">
        <v>80206</v>
      </c>
      <c r="K519" t="s">
        <v>31</v>
      </c>
      <c r="L519" s="3" t="s">
        <v>18</v>
      </c>
      <c r="M519" cm="1">
        <f t="array" ref="M519">_xlfn.IFS(L518="A", 4, L518="B", 3, L518="C", 2, L518="D", 1)</f>
        <v>2</v>
      </c>
    </row>
    <row r="520" spans="1:13" hidden="1" x14ac:dyDescent="0.2">
      <c r="A520">
        <v>2023</v>
      </c>
      <c r="B520">
        <v>80206</v>
      </c>
      <c r="C520" t="s">
        <v>13</v>
      </c>
      <c r="D520" t="s">
        <v>107</v>
      </c>
      <c r="E520" t="s">
        <v>15</v>
      </c>
      <c r="F520" t="s">
        <v>16</v>
      </c>
      <c r="G520">
        <v>2</v>
      </c>
      <c r="H520" s="1">
        <v>26108</v>
      </c>
      <c r="I520" t="s">
        <v>32</v>
      </c>
      <c r="J520">
        <v>80206</v>
      </c>
      <c r="K520" t="s">
        <v>32</v>
      </c>
      <c r="L520" s="3" t="s">
        <v>23</v>
      </c>
      <c r="M520" cm="1">
        <f t="array" ref="M520">_xlfn.IFS(L519="A", 4, L519="B", 3, L519="C", 2, L519="D", 1)</f>
        <v>4</v>
      </c>
    </row>
    <row r="521" spans="1:13" hidden="1" x14ac:dyDescent="0.2">
      <c r="A521">
        <v>2023</v>
      </c>
      <c r="B521">
        <v>80206</v>
      </c>
      <c r="C521" t="s">
        <v>13</v>
      </c>
      <c r="D521" t="s">
        <v>107</v>
      </c>
      <c r="E521" t="s">
        <v>15</v>
      </c>
      <c r="F521" t="s">
        <v>16</v>
      </c>
      <c r="G521">
        <v>2</v>
      </c>
      <c r="H521" s="1">
        <v>26108</v>
      </c>
      <c r="I521" t="s">
        <v>33</v>
      </c>
      <c r="J521">
        <v>80206</v>
      </c>
      <c r="K521" t="s">
        <v>33</v>
      </c>
      <c r="L521" s="3" t="s">
        <v>21</v>
      </c>
      <c r="M521" cm="1">
        <f t="array" ref="M521">_xlfn.IFS(L520="A", 4, L520="B", 3, L520="C", 2, L520="D", 1)</f>
        <v>1</v>
      </c>
    </row>
    <row r="522" spans="1:13" hidden="1" x14ac:dyDescent="0.2">
      <c r="A522">
        <v>2022</v>
      </c>
      <c r="B522">
        <v>80206</v>
      </c>
      <c r="C522" t="s">
        <v>13</v>
      </c>
      <c r="D522" t="s">
        <v>108</v>
      </c>
      <c r="E522" t="s">
        <v>15</v>
      </c>
      <c r="F522" t="s">
        <v>16</v>
      </c>
      <c r="G522">
        <v>6.2</v>
      </c>
      <c r="H522" s="1">
        <v>26108</v>
      </c>
      <c r="I522" t="s">
        <v>27</v>
      </c>
      <c r="J522">
        <v>80206</v>
      </c>
      <c r="K522" t="s">
        <v>27</v>
      </c>
      <c r="L522" s="3" t="s">
        <v>21</v>
      </c>
      <c r="M522" cm="1">
        <f t="array" ref="M522">_xlfn.IFS(L521="A", 4, L521="B", 3, L521="C", 2, L521="D", 1)</f>
        <v>2</v>
      </c>
    </row>
    <row r="523" spans="1:13" hidden="1" x14ac:dyDescent="0.2">
      <c r="A523">
        <v>2022</v>
      </c>
      <c r="B523">
        <v>80206</v>
      </c>
      <c r="C523" t="s">
        <v>13</v>
      </c>
      <c r="D523" t="s">
        <v>108</v>
      </c>
      <c r="E523" t="s">
        <v>15</v>
      </c>
      <c r="F523" t="s">
        <v>16</v>
      </c>
      <c r="G523">
        <v>6.2</v>
      </c>
      <c r="H523" s="1">
        <v>26108</v>
      </c>
      <c r="I523" t="s">
        <v>31</v>
      </c>
      <c r="J523">
        <v>80206</v>
      </c>
      <c r="K523" t="s">
        <v>31</v>
      </c>
      <c r="L523" s="3" t="s">
        <v>18</v>
      </c>
      <c r="M523" cm="1">
        <f t="array" ref="M523">_xlfn.IFS(L522="A", 4, L522="B", 3, L522="C", 2, L522="D", 1)</f>
        <v>2</v>
      </c>
    </row>
    <row r="524" spans="1:13" hidden="1" x14ac:dyDescent="0.2">
      <c r="A524">
        <v>2022</v>
      </c>
      <c r="B524">
        <v>80206</v>
      </c>
      <c r="C524" t="s">
        <v>13</v>
      </c>
      <c r="D524" t="s">
        <v>108</v>
      </c>
      <c r="E524" t="s">
        <v>15</v>
      </c>
      <c r="F524" t="s">
        <v>16</v>
      </c>
      <c r="G524">
        <v>6.2</v>
      </c>
      <c r="H524" s="1">
        <v>26108</v>
      </c>
      <c r="I524" t="s">
        <v>32</v>
      </c>
      <c r="J524">
        <v>80206</v>
      </c>
      <c r="K524" t="s">
        <v>32</v>
      </c>
      <c r="L524" s="3" t="s">
        <v>23</v>
      </c>
      <c r="M524" cm="1">
        <f t="array" ref="M524">_xlfn.IFS(L523="A", 4, L523="B", 3, L523="C", 2, L523="D", 1)</f>
        <v>4</v>
      </c>
    </row>
    <row r="525" spans="1:13" hidden="1" x14ac:dyDescent="0.2">
      <c r="A525">
        <v>2022</v>
      </c>
      <c r="B525">
        <v>80206</v>
      </c>
      <c r="C525" t="s">
        <v>13</v>
      </c>
      <c r="D525" t="s">
        <v>108</v>
      </c>
      <c r="E525" t="s">
        <v>15</v>
      </c>
      <c r="F525" t="s">
        <v>16</v>
      </c>
      <c r="G525">
        <v>6.2</v>
      </c>
      <c r="H525" s="1">
        <v>26108</v>
      </c>
      <c r="I525" t="s">
        <v>33</v>
      </c>
      <c r="J525">
        <v>80206</v>
      </c>
      <c r="K525" t="s">
        <v>33</v>
      </c>
      <c r="L525" s="3" t="s">
        <v>21</v>
      </c>
      <c r="M525" cm="1">
        <f t="array" ref="M525">_xlfn.IFS(L524="A", 4, L524="B", 3, L524="C", 2, L524="D", 1)</f>
        <v>1</v>
      </c>
    </row>
    <row r="526" spans="1:13" hidden="1" x14ac:dyDescent="0.2">
      <c r="A526">
        <v>2023</v>
      </c>
      <c r="B526">
        <v>80206</v>
      </c>
      <c r="C526" t="s">
        <v>86</v>
      </c>
      <c r="D526" t="s">
        <v>109</v>
      </c>
      <c r="E526" t="s">
        <v>15</v>
      </c>
      <c r="F526" t="s">
        <v>16</v>
      </c>
      <c r="G526">
        <v>2.9</v>
      </c>
      <c r="H526" s="1">
        <v>26108</v>
      </c>
      <c r="I526" t="s">
        <v>27</v>
      </c>
      <c r="J526">
        <v>80206</v>
      </c>
      <c r="K526" t="s">
        <v>27</v>
      </c>
      <c r="L526" s="3" t="s">
        <v>21</v>
      </c>
      <c r="M526" cm="1">
        <f t="array" ref="M526">_xlfn.IFS(L525="A", 4, L525="B", 3, L525="C", 2, L525="D", 1)</f>
        <v>2</v>
      </c>
    </row>
    <row r="527" spans="1:13" hidden="1" x14ac:dyDescent="0.2">
      <c r="A527">
        <v>2023</v>
      </c>
      <c r="B527">
        <v>80206</v>
      </c>
      <c r="C527" t="s">
        <v>86</v>
      </c>
      <c r="D527" t="s">
        <v>109</v>
      </c>
      <c r="E527" t="s">
        <v>15</v>
      </c>
      <c r="F527" t="s">
        <v>16</v>
      </c>
      <c r="G527">
        <v>2.9</v>
      </c>
      <c r="H527" s="1">
        <v>26108</v>
      </c>
      <c r="I527" t="s">
        <v>31</v>
      </c>
      <c r="J527">
        <v>80206</v>
      </c>
      <c r="K527" t="s">
        <v>31</v>
      </c>
      <c r="L527" s="3" t="s">
        <v>18</v>
      </c>
      <c r="M527" cm="1">
        <f t="array" ref="M527">_xlfn.IFS(L526="A", 4, L526="B", 3, L526="C", 2, L526="D", 1)</f>
        <v>2</v>
      </c>
    </row>
    <row r="528" spans="1:13" hidden="1" x14ac:dyDescent="0.2">
      <c r="A528">
        <v>2023</v>
      </c>
      <c r="B528">
        <v>80206</v>
      </c>
      <c r="C528" t="s">
        <v>86</v>
      </c>
      <c r="D528" t="s">
        <v>109</v>
      </c>
      <c r="E528" t="s">
        <v>15</v>
      </c>
      <c r="F528" t="s">
        <v>16</v>
      </c>
      <c r="G528">
        <v>2.9</v>
      </c>
      <c r="H528" s="1">
        <v>26108</v>
      </c>
      <c r="I528" t="s">
        <v>32</v>
      </c>
      <c r="J528">
        <v>80206</v>
      </c>
      <c r="K528" t="s">
        <v>32</v>
      </c>
      <c r="L528" s="3" t="s">
        <v>23</v>
      </c>
      <c r="M528" cm="1">
        <f t="array" ref="M528">_xlfn.IFS(L527="A", 4, L527="B", 3, L527="C", 2, L527="D", 1)</f>
        <v>4</v>
      </c>
    </row>
    <row r="529" spans="1:13" hidden="1" x14ac:dyDescent="0.2">
      <c r="A529">
        <v>2023</v>
      </c>
      <c r="B529">
        <v>80206</v>
      </c>
      <c r="C529" t="s">
        <v>86</v>
      </c>
      <c r="D529" t="s">
        <v>109</v>
      </c>
      <c r="E529" t="s">
        <v>15</v>
      </c>
      <c r="F529" t="s">
        <v>16</v>
      </c>
      <c r="G529">
        <v>2.9</v>
      </c>
      <c r="H529" s="1">
        <v>26108</v>
      </c>
      <c r="I529" t="s">
        <v>33</v>
      </c>
      <c r="J529">
        <v>80206</v>
      </c>
      <c r="K529" t="s">
        <v>33</v>
      </c>
      <c r="L529" s="3" t="s">
        <v>21</v>
      </c>
      <c r="M529" cm="1">
        <f t="array" ref="M529">_xlfn.IFS(L528="A", 4, L528="B", 3, L528="C", 2, L528="D", 1)</f>
        <v>1</v>
      </c>
    </row>
    <row r="530" spans="1:13" hidden="1" x14ac:dyDescent="0.2">
      <c r="A530">
        <v>2023</v>
      </c>
      <c r="B530">
        <v>80207</v>
      </c>
      <c r="C530" t="s">
        <v>74</v>
      </c>
      <c r="D530" t="s">
        <v>75</v>
      </c>
      <c r="E530" t="s">
        <v>15</v>
      </c>
      <c r="F530" t="s">
        <v>16</v>
      </c>
      <c r="G530">
        <v>10.5</v>
      </c>
      <c r="H530" s="1">
        <v>21170</v>
      </c>
      <c r="I530" t="s">
        <v>34</v>
      </c>
      <c r="J530">
        <v>80207</v>
      </c>
      <c r="K530" t="s">
        <v>34</v>
      </c>
      <c r="L530" s="3" t="s">
        <v>20</v>
      </c>
      <c r="M530" cm="1">
        <f t="array" ref="M530">_xlfn.IFS(L529="A", 4, L529="B", 3, L529="C", 2, L529="D", 1)</f>
        <v>2</v>
      </c>
    </row>
    <row r="531" spans="1:13" hidden="1" x14ac:dyDescent="0.2">
      <c r="A531">
        <v>2023</v>
      </c>
      <c r="B531">
        <v>80207</v>
      </c>
      <c r="C531" t="s">
        <v>74</v>
      </c>
      <c r="D531" t="s">
        <v>75</v>
      </c>
      <c r="E531" t="s">
        <v>15</v>
      </c>
      <c r="F531" t="s">
        <v>16</v>
      </c>
      <c r="G531">
        <v>10.5</v>
      </c>
      <c r="H531" s="1">
        <v>21170</v>
      </c>
      <c r="I531" t="s">
        <v>35</v>
      </c>
      <c r="J531">
        <v>80207</v>
      </c>
      <c r="K531" t="s">
        <v>35</v>
      </c>
      <c r="L531" s="3" t="s">
        <v>20</v>
      </c>
      <c r="M531" cm="1">
        <f t="array" ref="M531">_xlfn.IFS(L530="A", 4, L530="B", 3, L530="C", 2, L530="D", 1)</f>
        <v>3</v>
      </c>
    </row>
    <row r="532" spans="1:13" hidden="1" x14ac:dyDescent="0.2">
      <c r="A532">
        <v>2023</v>
      </c>
      <c r="B532">
        <v>80207</v>
      </c>
      <c r="C532" t="s">
        <v>13</v>
      </c>
      <c r="D532" t="s">
        <v>76</v>
      </c>
      <c r="E532" t="s">
        <v>15</v>
      </c>
      <c r="F532" t="s">
        <v>16</v>
      </c>
      <c r="G532">
        <v>21.1</v>
      </c>
      <c r="H532" s="1">
        <v>21170</v>
      </c>
      <c r="I532" t="s">
        <v>34</v>
      </c>
      <c r="J532">
        <v>80207</v>
      </c>
      <c r="K532" t="s">
        <v>34</v>
      </c>
      <c r="L532" s="3" t="s">
        <v>20</v>
      </c>
      <c r="M532" cm="1">
        <f t="array" ref="M532">_xlfn.IFS(L531="A", 4, L531="B", 3, L531="C", 2, L531="D", 1)</f>
        <v>3</v>
      </c>
    </row>
    <row r="533" spans="1:13" hidden="1" x14ac:dyDescent="0.2">
      <c r="A533">
        <v>2023</v>
      </c>
      <c r="B533">
        <v>80207</v>
      </c>
      <c r="C533" t="s">
        <v>13</v>
      </c>
      <c r="D533" t="s">
        <v>76</v>
      </c>
      <c r="E533" t="s">
        <v>15</v>
      </c>
      <c r="F533" t="s">
        <v>16</v>
      </c>
      <c r="G533">
        <v>21.1</v>
      </c>
      <c r="H533" s="1">
        <v>21170</v>
      </c>
      <c r="I533" t="s">
        <v>35</v>
      </c>
      <c r="J533">
        <v>80207</v>
      </c>
      <c r="K533" t="s">
        <v>35</v>
      </c>
      <c r="L533" s="3" t="s">
        <v>20</v>
      </c>
      <c r="M533" cm="1">
        <f t="array" ref="M533">_xlfn.IFS(L532="A", 4, L532="B", 3, L532="C", 2, L532="D", 1)</f>
        <v>3</v>
      </c>
    </row>
    <row r="534" spans="1:13" hidden="1" x14ac:dyDescent="0.2">
      <c r="A534">
        <v>2023</v>
      </c>
      <c r="B534">
        <v>80207</v>
      </c>
      <c r="C534" t="s">
        <v>77</v>
      </c>
      <c r="D534" t="s">
        <v>78</v>
      </c>
      <c r="E534" t="s">
        <v>15</v>
      </c>
      <c r="F534" t="s">
        <v>16</v>
      </c>
      <c r="G534">
        <v>23.4</v>
      </c>
      <c r="H534" s="1">
        <v>21170</v>
      </c>
      <c r="I534" t="s">
        <v>34</v>
      </c>
      <c r="J534">
        <v>80207</v>
      </c>
      <c r="K534" t="s">
        <v>34</v>
      </c>
      <c r="L534" s="3" t="s">
        <v>20</v>
      </c>
      <c r="M534" cm="1">
        <f t="array" ref="M534">_xlfn.IFS(L533="A", 4, L533="B", 3, L533="C", 2, L533="D", 1)</f>
        <v>3</v>
      </c>
    </row>
    <row r="535" spans="1:13" hidden="1" x14ac:dyDescent="0.2">
      <c r="A535">
        <v>2023</v>
      </c>
      <c r="B535">
        <v>80207</v>
      </c>
      <c r="C535" t="s">
        <v>77</v>
      </c>
      <c r="D535" t="s">
        <v>78</v>
      </c>
      <c r="E535" t="s">
        <v>15</v>
      </c>
      <c r="F535" t="s">
        <v>16</v>
      </c>
      <c r="G535">
        <v>23.4</v>
      </c>
      <c r="H535" s="1">
        <v>21170</v>
      </c>
      <c r="I535" t="s">
        <v>35</v>
      </c>
      <c r="J535">
        <v>80207</v>
      </c>
      <c r="K535" t="s">
        <v>35</v>
      </c>
      <c r="L535" s="3" t="s">
        <v>20</v>
      </c>
      <c r="M535" cm="1">
        <f t="array" ref="M535">_xlfn.IFS(L534="A", 4, L534="B", 3, L534="C", 2, L534="D", 1)</f>
        <v>3</v>
      </c>
    </row>
    <row r="536" spans="1:13" hidden="1" x14ac:dyDescent="0.2">
      <c r="A536">
        <v>2023</v>
      </c>
      <c r="B536">
        <v>80207</v>
      </c>
      <c r="C536" t="s">
        <v>13</v>
      </c>
      <c r="D536" t="s">
        <v>79</v>
      </c>
      <c r="E536" t="s">
        <v>15</v>
      </c>
      <c r="F536" t="s">
        <v>16</v>
      </c>
      <c r="G536">
        <v>25.9</v>
      </c>
      <c r="H536" s="1">
        <v>21170</v>
      </c>
      <c r="I536" t="s">
        <v>34</v>
      </c>
      <c r="J536">
        <v>80207</v>
      </c>
      <c r="K536" t="s">
        <v>34</v>
      </c>
      <c r="L536" s="3" t="s">
        <v>20</v>
      </c>
      <c r="M536" cm="1">
        <f t="array" ref="M536">_xlfn.IFS(L535="A", 4, L535="B", 3, L535="C", 2, L535="D", 1)</f>
        <v>3</v>
      </c>
    </row>
    <row r="537" spans="1:13" hidden="1" x14ac:dyDescent="0.2">
      <c r="A537">
        <v>2023</v>
      </c>
      <c r="B537">
        <v>80207</v>
      </c>
      <c r="C537" t="s">
        <v>13</v>
      </c>
      <c r="D537" t="s">
        <v>79</v>
      </c>
      <c r="E537" t="s">
        <v>15</v>
      </c>
      <c r="F537" t="s">
        <v>16</v>
      </c>
      <c r="G537">
        <v>25.9</v>
      </c>
      <c r="H537" s="1">
        <v>21170</v>
      </c>
      <c r="I537" t="s">
        <v>35</v>
      </c>
      <c r="J537">
        <v>80207</v>
      </c>
      <c r="K537" t="s">
        <v>35</v>
      </c>
      <c r="L537" s="3" t="s">
        <v>20</v>
      </c>
      <c r="M537" cm="1">
        <f t="array" ref="M537">_xlfn.IFS(L536="A", 4, L536="B", 3, L536="C", 2, L536="D", 1)</f>
        <v>3</v>
      </c>
    </row>
    <row r="538" spans="1:13" hidden="1" x14ac:dyDescent="0.2">
      <c r="A538">
        <v>2023</v>
      </c>
      <c r="B538">
        <v>80207</v>
      </c>
      <c r="C538" t="s">
        <v>74</v>
      </c>
      <c r="D538" t="s">
        <v>80</v>
      </c>
      <c r="E538" t="s">
        <v>15</v>
      </c>
      <c r="F538" t="s">
        <v>16</v>
      </c>
      <c r="G538">
        <v>70.599999999999994</v>
      </c>
      <c r="H538" s="1">
        <v>21170</v>
      </c>
      <c r="I538" t="s">
        <v>34</v>
      </c>
      <c r="J538">
        <v>80207</v>
      </c>
      <c r="K538" t="s">
        <v>34</v>
      </c>
      <c r="L538" s="3" t="s">
        <v>20</v>
      </c>
      <c r="M538" cm="1">
        <f t="array" ref="M538">_xlfn.IFS(L537="A", 4, L537="B", 3, L537="C", 2, L537="D", 1)</f>
        <v>3</v>
      </c>
    </row>
    <row r="539" spans="1:13" hidden="1" x14ac:dyDescent="0.2">
      <c r="A539">
        <v>2023</v>
      </c>
      <c r="B539">
        <v>80207</v>
      </c>
      <c r="C539" t="s">
        <v>74</v>
      </c>
      <c r="D539" t="s">
        <v>80</v>
      </c>
      <c r="E539" t="s">
        <v>15</v>
      </c>
      <c r="F539" t="s">
        <v>16</v>
      </c>
      <c r="G539">
        <v>70.599999999999994</v>
      </c>
      <c r="H539" s="1">
        <v>21170</v>
      </c>
      <c r="I539" t="s">
        <v>35</v>
      </c>
      <c r="J539">
        <v>80207</v>
      </c>
      <c r="K539" t="s">
        <v>35</v>
      </c>
      <c r="L539" s="3" t="s">
        <v>20</v>
      </c>
      <c r="M539" cm="1">
        <f t="array" ref="M539">_xlfn.IFS(L538="A", 4, L538="B", 3, L538="C", 2, L538="D", 1)</f>
        <v>3</v>
      </c>
    </row>
    <row r="540" spans="1:13" hidden="1" x14ac:dyDescent="0.2">
      <c r="A540">
        <v>2023</v>
      </c>
      <c r="B540">
        <v>80207</v>
      </c>
      <c r="C540" t="s">
        <v>13</v>
      </c>
      <c r="D540" t="s">
        <v>81</v>
      </c>
      <c r="E540" t="s">
        <v>15</v>
      </c>
      <c r="F540" t="s">
        <v>16</v>
      </c>
      <c r="G540">
        <v>6.5</v>
      </c>
      <c r="H540" s="1">
        <v>21170</v>
      </c>
      <c r="I540" t="s">
        <v>34</v>
      </c>
      <c r="J540">
        <v>80207</v>
      </c>
      <c r="K540" t="s">
        <v>34</v>
      </c>
      <c r="L540" s="3" t="s">
        <v>20</v>
      </c>
      <c r="M540" cm="1">
        <f t="array" ref="M540">_xlfn.IFS(L539="A", 4, L539="B", 3, L539="C", 2, L539="D", 1)</f>
        <v>3</v>
      </c>
    </row>
    <row r="541" spans="1:13" hidden="1" x14ac:dyDescent="0.2">
      <c r="A541">
        <v>2023</v>
      </c>
      <c r="B541">
        <v>80207</v>
      </c>
      <c r="C541" t="s">
        <v>13</v>
      </c>
      <c r="D541" t="s">
        <v>81</v>
      </c>
      <c r="E541" t="s">
        <v>15</v>
      </c>
      <c r="F541" t="s">
        <v>16</v>
      </c>
      <c r="G541">
        <v>6.5</v>
      </c>
      <c r="H541" s="1">
        <v>21170</v>
      </c>
      <c r="I541" t="s">
        <v>35</v>
      </c>
      <c r="J541">
        <v>80207</v>
      </c>
      <c r="K541" t="s">
        <v>35</v>
      </c>
      <c r="L541" s="3" t="s">
        <v>20</v>
      </c>
      <c r="M541" cm="1">
        <f t="array" ref="M541">_xlfn.IFS(L540="A", 4, L540="B", 3, L540="C", 2, L540="D", 1)</f>
        <v>3</v>
      </c>
    </row>
    <row r="542" spans="1:13" hidden="1" x14ac:dyDescent="0.2">
      <c r="A542">
        <v>2023</v>
      </c>
      <c r="B542">
        <v>80207</v>
      </c>
      <c r="C542" t="s">
        <v>13</v>
      </c>
      <c r="D542" t="s">
        <v>82</v>
      </c>
      <c r="E542" t="s">
        <v>15</v>
      </c>
      <c r="F542" t="s">
        <v>16</v>
      </c>
      <c r="G542">
        <v>11</v>
      </c>
      <c r="H542" s="1">
        <v>21170</v>
      </c>
      <c r="I542" t="s">
        <v>34</v>
      </c>
      <c r="J542">
        <v>80207</v>
      </c>
      <c r="K542" t="s">
        <v>34</v>
      </c>
      <c r="L542" s="3" t="s">
        <v>20</v>
      </c>
      <c r="M542" cm="1">
        <f t="array" ref="M542">_xlfn.IFS(L541="A", 4, L541="B", 3, L541="C", 2, L541="D", 1)</f>
        <v>3</v>
      </c>
    </row>
    <row r="543" spans="1:13" hidden="1" x14ac:dyDescent="0.2">
      <c r="A543">
        <v>2023</v>
      </c>
      <c r="B543">
        <v>80207</v>
      </c>
      <c r="C543" t="s">
        <v>13</v>
      </c>
      <c r="D543" t="s">
        <v>82</v>
      </c>
      <c r="E543" t="s">
        <v>15</v>
      </c>
      <c r="F543" t="s">
        <v>16</v>
      </c>
      <c r="G543">
        <v>11</v>
      </c>
      <c r="H543" s="1">
        <v>21170</v>
      </c>
      <c r="I543" t="s">
        <v>35</v>
      </c>
      <c r="J543">
        <v>80207</v>
      </c>
      <c r="K543" t="s">
        <v>35</v>
      </c>
      <c r="L543" s="3" t="s">
        <v>20</v>
      </c>
      <c r="M543" cm="1">
        <f t="array" ref="M543">_xlfn.IFS(L542="A", 4, L542="B", 3, L542="C", 2, L542="D", 1)</f>
        <v>3</v>
      </c>
    </row>
    <row r="544" spans="1:13" hidden="1" x14ac:dyDescent="0.2">
      <c r="A544">
        <v>2023</v>
      </c>
      <c r="B544">
        <v>80207</v>
      </c>
      <c r="C544" t="s">
        <v>13</v>
      </c>
      <c r="D544" t="s">
        <v>83</v>
      </c>
      <c r="E544" t="s">
        <v>15</v>
      </c>
      <c r="F544" t="s">
        <v>16</v>
      </c>
      <c r="G544">
        <v>4.5</v>
      </c>
      <c r="H544" s="1">
        <v>21170</v>
      </c>
      <c r="I544" t="s">
        <v>34</v>
      </c>
      <c r="J544">
        <v>80207</v>
      </c>
      <c r="K544" t="s">
        <v>34</v>
      </c>
      <c r="L544" s="3" t="s">
        <v>20</v>
      </c>
      <c r="M544" cm="1">
        <f t="array" ref="M544">_xlfn.IFS(L543="A", 4, L543="B", 3, L543="C", 2, L543="D", 1)</f>
        <v>3</v>
      </c>
    </row>
    <row r="545" spans="1:13" hidden="1" x14ac:dyDescent="0.2">
      <c r="A545">
        <v>2023</v>
      </c>
      <c r="B545">
        <v>80207</v>
      </c>
      <c r="C545" t="s">
        <v>13</v>
      </c>
      <c r="D545" t="s">
        <v>83</v>
      </c>
      <c r="E545" t="s">
        <v>15</v>
      </c>
      <c r="F545" t="s">
        <v>16</v>
      </c>
      <c r="G545">
        <v>4.5</v>
      </c>
      <c r="H545" s="1">
        <v>21170</v>
      </c>
      <c r="I545" t="s">
        <v>35</v>
      </c>
      <c r="J545">
        <v>80207</v>
      </c>
      <c r="K545" t="s">
        <v>35</v>
      </c>
      <c r="L545" s="3" t="s">
        <v>20</v>
      </c>
      <c r="M545" cm="1">
        <f t="array" ref="M545">_xlfn.IFS(L544="A", 4, L544="B", 3, L544="C", 2, L544="D", 1)</f>
        <v>3</v>
      </c>
    </row>
    <row r="546" spans="1:13" x14ac:dyDescent="0.2">
      <c r="A546">
        <v>2023</v>
      </c>
      <c r="B546">
        <v>80207</v>
      </c>
      <c r="C546" t="s">
        <v>74</v>
      </c>
      <c r="D546" t="s">
        <v>84</v>
      </c>
      <c r="E546" t="s">
        <v>15</v>
      </c>
      <c r="F546" t="s">
        <v>16</v>
      </c>
      <c r="G546">
        <v>73.099999999999994</v>
      </c>
      <c r="H546" s="1">
        <v>21170</v>
      </c>
      <c r="I546" t="s">
        <v>34</v>
      </c>
      <c r="J546">
        <v>80207</v>
      </c>
      <c r="K546" t="s">
        <v>34</v>
      </c>
      <c r="L546" s="3" t="s">
        <v>20</v>
      </c>
      <c r="M546" cm="1">
        <f t="array" ref="M546">_xlfn.IFS(L545="A", 4, L545="B", 3, L545="C", 2, L545="D", 1)</f>
        <v>3</v>
      </c>
    </row>
    <row r="547" spans="1:13" x14ac:dyDescent="0.2">
      <c r="A547">
        <v>2023</v>
      </c>
      <c r="B547">
        <v>80207</v>
      </c>
      <c r="C547" t="s">
        <v>74</v>
      </c>
      <c r="D547" t="s">
        <v>84</v>
      </c>
      <c r="E547" t="s">
        <v>15</v>
      </c>
      <c r="F547" t="s">
        <v>16</v>
      </c>
      <c r="G547">
        <v>73.099999999999994</v>
      </c>
      <c r="H547" s="1">
        <v>21170</v>
      </c>
      <c r="I547" t="s">
        <v>35</v>
      </c>
      <c r="J547">
        <v>80207</v>
      </c>
      <c r="K547" t="s">
        <v>35</v>
      </c>
      <c r="L547" s="3" t="s">
        <v>20</v>
      </c>
      <c r="M547" cm="1">
        <f t="array" ref="M547">_xlfn.IFS(L546="A", 4, L546="B", 3, L546="C", 2, L546="D", 1)</f>
        <v>3</v>
      </c>
    </row>
    <row r="548" spans="1:13" hidden="1" x14ac:dyDescent="0.2">
      <c r="A548">
        <v>2023</v>
      </c>
      <c r="B548">
        <v>80207</v>
      </c>
      <c r="C548" t="s">
        <v>74</v>
      </c>
      <c r="D548" t="s">
        <v>85</v>
      </c>
      <c r="E548" t="s">
        <v>15</v>
      </c>
      <c r="F548" t="s">
        <v>16</v>
      </c>
      <c r="G548">
        <v>86.7</v>
      </c>
      <c r="H548" s="1">
        <v>21170</v>
      </c>
      <c r="I548" t="s">
        <v>34</v>
      </c>
      <c r="J548">
        <v>80207</v>
      </c>
      <c r="K548" t="s">
        <v>34</v>
      </c>
      <c r="L548" s="3" t="s">
        <v>20</v>
      </c>
      <c r="M548" cm="1">
        <f t="array" ref="M548">_xlfn.IFS(L547="A", 4, L547="B", 3, L547="C", 2, L547="D", 1)</f>
        <v>3</v>
      </c>
    </row>
    <row r="549" spans="1:13" hidden="1" x14ac:dyDescent="0.2">
      <c r="A549">
        <v>2023</v>
      </c>
      <c r="B549">
        <v>80207</v>
      </c>
      <c r="C549" t="s">
        <v>74</v>
      </c>
      <c r="D549" t="s">
        <v>85</v>
      </c>
      <c r="E549" t="s">
        <v>15</v>
      </c>
      <c r="F549" t="s">
        <v>16</v>
      </c>
      <c r="G549">
        <v>86.7</v>
      </c>
      <c r="H549" s="1">
        <v>21170</v>
      </c>
      <c r="I549" t="s">
        <v>35</v>
      </c>
      <c r="J549">
        <v>80207</v>
      </c>
      <c r="K549" t="s">
        <v>35</v>
      </c>
      <c r="L549" s="3" t="s">
        <v>20</v>
      </c>
      <c r="M549" cm="1">
        <f t="array" ref="M549">_xlfn.IFS(L548="A", 4, L548="B", 3, L548="C", 2, L548="D", 1)</f>
        <v>3</v>
      </c>
    </row>
    <row r="550" spans="1:13" hidden="1" x14ac:dyDescent="0.2">
      <c r="A550">
        <v>2023</v>
      </c>
      <c r="B550">
        <v>80207</v>
      </c>
      <c r="C550" t="s">
        <v>86</v>
      </c>
      <c r="D550" t="s">
        <v>87</v>
      </c>
      <c r="E550" t="s">
        <v>15</v>
      </c>
      <c r="F550" t="s">
        <v>16</v>
      </c>
      <c r="G550">
        <v>12.6</v>
      </c>
      <c r="H550" s="1">
        <v>21170</v>
      </c>
      <c r="I550" t="s">
        <v>34</v>
      </c>
      <c r="J550">
        <v>80207</v>
      </c>
      <c r="K550" t="s">
        <v>34</v>
      </c>
      <c r="L550" s="3" t="s">
        <v>20</v>
      </c>
      <c r="M550" cm="1">
        <f t="array" ref="M550">_xlfn.IFS(L549="A", 4, L549="B", 3, L549="C", 2, L549="D", 1)</f>
        <v>3</v>
      </c>
    </row>
    <row r="551" spans="1:13" hidden="1" x14ac:dyDescent="0.2">
      <c r="A551">
        <v>2023</v>
      </c>
      <c r="B551">
        <v>80207</v>
      </c>
      <c r="C551" t="s">
        <v>86</v>
      </c>
      <c r="D551" t="s">
        <v>87</v>
      </c>
      <c r="E551" t="s">
        <v>15</v>
      </c>
      <c r="F551" t="s">
        <v>16</v>
      </c>
      <c r="G551">
        <v>12.6</v>
      </c>
      <c r="H551" s="1">
        <v>21170</v>
      </c>
      <c r="I551" t="s">
        <v>35</v>
      </c>
      <c r="J551">
        <v>80207</v>
      </c>
      <c r="K551" t="s">
        <v>35</v>
      </c>
      <c r="L551" s="3" t="s">
        <v>20</v>
      </c>
      <c r="M551" cm="1">
        <f t="array" ref="M551">_xlfn.IFS(L550="A", 4, L550="B", 3, L550="C", 2, L550="D", 1)</f>
        <v>3</v>
      </c>
    </row>
    <row r="552" spans="1:13" hidden="1" x14ac:dyDescent="0.2">
      <c r="A552">
        <v>2022</v>
      </c>
      <c r="B552">
        <v>80207</v>
      </c>
      <c r="C552" t="s">
        <v>74</v>
      </c>
      <c r="D552" t="s">
        <v>88</v>
      </c>
      <c r="E552" t="s">
        <v>15</v>
      </c>
      <c r="F552" t="s">
        <v>16</v>
      </c>
      <c r="G552">
        <v>65.400000000000006</v>
      </c>
      <c r="H552" s="1">
        <v>21170</v>
      </c>
      <c r="I552" t="s">
        <v>34</v>
      </c>
      <c r="J552">
        <v>80207</v>
      </c>
      <c r="K552" t="s">
        <v>34</v>
      </c>
      <c r="L552" s="3" t="s">
        <v>20</v>
      </c>
      <c r="M552" cm="1">
        <f t="array" ref="M552">_xlfn.IFS(L551="A", 4, L551="B", 3, L551="C", 2, L551="D", 1)</f>
        <v>3</v>
      </c>
    </row>
    <row r="553" spans="1:13" hidden="1" x14ac:dyDescent="0.2">
      <c r="A553">
        <v>2022</v>
      </c>
      <c r="B553">
        <v>80207</v>
      </c>
      <c r="C553" t="s">
        <v>74</v>
      </c>
      <c r="D553" t="s">
        <v>88</v>
      </c>
      <c r="E553" t="s">
        <v>15</v>
      </c>
      <c r="F553" t="s">
        <v>16</v>
      </c>
      <c r="G553">
        <v>65.400000000000006</v>
      </c>
      <c r="H553" s="1">
        <v>21170</v>
      </c>
      <c r="I553" t="s">
        <v>35</v>
      </c>
      <c r="J553">
        <v>80207</v>
      </c>
      <c r="K553" t="s">
        <v>35</v>
      </c>
      <c r="L553" s="3" t="s">
        <v>20</v>
      </c>
      <c r="M553" cm="1">
        <f t="array" ref="M553">_xlfn.IFS(L552="A", 4, L552="B", 3, L552="C", 2, L552="D", 1)</f>
        <v>3</v>
      </c>
    </row>
    <row r="554" spans="1:13" hidden="1" x14ac:dyDescent="0.2">
      <c r="A554">
        <v>2023</v>
      </c>
      <c r="B554">
        <v>80207</v>
      </c>
      <c r="C554" t="s">
        <v>13</v>
      </c>
      <c r="D554" t="s">
        <v>89</v>
      </c>
      <c r="E554" t="s">
        <v>15</v>
      </c>
      <c r="F554" t="s">
        <v>16</v>
      </c>
      <c r="G554">
        <v>4.4000000000000004</v>
      </c>
      <c r="H554" s="1">
        <v>21170</v>
      </c>
      <c r="I554" t="s">
        <v>34</v>
      </c>
      <c r="J554">
        <v>80207</v>
      </c>
      <c r="K554" t="s">
        <v>34</v>
      </c>
      <c r="L554" s="3" t="s">
        <v>20</v>
      </c>
      <c r="M554" cm="1">
        <f t="array" ref="M554">_xlfn.IFS(L553="A", 4, L553="B", 3, L553="C", 2, L553="D", 1)</f>
        <v>3</v>
      </c>
    </row>
    <row r="555" spans="1:13" hidden="1" x14ac:dyDescent="0.2">
      <c r="A555">
        <v>2023</v>
      </c>
      <c r="B555">
        <v>80207</v>
      </c>
      <c r="C555" t="s">
        <v>13</v>
      </c>
      <c r="D555" t="s">
        <v>89</v>
      </c>
      <c r="E555" t="s">
        <v>15</v>
      </c>
      <c r="F555" t="s">
        <v>16</v>
      </c>
      <c r="G555">
        <v>4.4000000000000004</v>
      </c>
      <c r="H555" s="1">
        <v>21170</v>
      </c>
      <c r="I555" t="s">
        <v>35</v>
      </c>
      <c r="J555">
        <v>80207</v>
      </c>
      <c r="K555" t="s">
        <v>35</v>
      </c>
      <c r="L555" s="3" t="s">
        <v>20</v>
      </c>
      <c r="M555" cm="1">
        <f t="array" ref="M555">_xlfn.IFS(L554="A", 4, L554="B", 3, L554="C", 2, L554="D", 1)</f>
        <v>3</v>
      </c>
    </row>
    <row r="556" spans="1:13" hidden="1" x14ac:dyDescent="0.2">
      <c r="A556">
        <v>2023</v>
      </c>
      <c r="B556">
        <v>80207</v>
      </c>
      <c r="C556" t="s">
        <v>77</v>
      </c>
      <c r="D556" t="s">
        <v>90</v>
      </c>
      <c r="E556" t="s">
        <v>15</v>
      </c>
      <c r="F556" t="s">
        <v>16</v>
      </c>
      <c r="G556">
        <v>10.1</v>
      </c>
      <c r="H556" s="1">
        <v>21170</v>
      </c>
      <c r="I556" t="s">
        <v>34</v>
      </c>
      <c r="J556">
        <v>80207</v>
      </c>
      <c r="K556" t="s">
        <v>34</v>
      </c>
      <c r="L556" s="3" t="s">
        <v>20</v>
      </c>
      <c r="M556" cm="1">
        <f t="array" ref="M556">_xlfn.IFS(L555="A", 4, L555="B", 3, L555="C", 2, L555="D", 1)</f>
        <v>3</v>
      </c>
    </row>
    <row r="557" spans="1:13" hidden="1" x14ac:dyDescent="0.2">
      <c r="A557">
        <v>2023</v>
      </c>
      <c r="B557">
        <v>80207</v>
      </c>
      <c r="C557" t="s">
        <v>77</v>
      </c>
      <c r="D557" t="s">
        <v>90</v>
      </c>
      <c r="E557" t="s">
        <v>15</v>
      </c>
      <c r="F557" t="s">
        <v>16</v>
      </c>
      <c r="G557">
        <v>10.1</v>
      </c>
      <c r="H557" s="1">
        <v>21170</v>
      </c>
      <c r="I557" t="s">
        <v>35</v>
      </c>
      <c r="J557">
        <v>80207</v>
      </c>
      <c r="K557" t="s">
        <v>35</v>
      </c>
      <c r="L557" s="3" t="s">
        <v>20</v>
      </c>
      <c r="M557" cm="1">
        <f t="array" ref="M557">_xlfn.IFS(L556="A", 4, L556="B", 3, L556="C", 2, L556="D", 1)</f>
        <v>3</v>
      </c>
    </row>
    <row r="558" spans="1:13" hidden="1" x14ac:dyDescent="0.2">
      <c r="A558">
        <v>2022</v>
      </c>
      <c r="B558">
        <v>80207</v>
      </c>
      <c r="C558" t="s">
        <v>74</v>
      </c>
      <c r="D558" t="s">
        <v>91</v>
      </c>
      <c r="E558" t="s">
        <v>15</v>
      </c>
      <c r="F558" t="s">
        <v>16</v>
      </c>
      <c r="G558">
        <v>65.400000000000006</v>
      </c>
      <c r="H558" s="1">
        <v>21170</v>
      </c>
      <c r="I558" t="s">
        <v>34</v>
      </c>
      <c r="J558">
        <v>80207</v>
      </c>
      <c r="K558" t="s">
        <v>34</v>
      </c>
      <c r="L558" s="3" t="s">
        <v>20</v>
      </c>
      <c r="M558" cm="1">
        <f t="array" ref="M558">_xlfn.IFS(L557="A", 4, L557="B", 3, L557="C", 2, L557="D", 1)</f>
        <v>3</v>
      </c>
    </row>
    <row r="559" spans="1:13" hidden="1" x14ac:dyDescent="0.2">
      <c r="A559">
        <v>2022</v>
      </c>
      <c r="B559">
        <v>80207</v>
      </c>
      <c r="C559" t="s">
        <v>74</v>
      </c>
      <c r="D559" t="s">
        <v>91</v>
      </c>
      <c r="E559" t="s">
        <v>15</v>
      </c>
      <c r="F559" t="s">
        <v>16</v>
      </c>
      <c r="G559">
        <v>65.400000000000006</v>
      </c>
      <c r="H559" s="1">
        <v>21170</v>
      </c>
      <c r="I559" t="s">
        <v>35</v>
      </c>
      <c r="J559">
        <v>80207</v>
      </c>
      <c r="K559" t="s">
        <v>35</v>
      </c>
      <c r="L559" s="3" t="s">
        <v>20</v>
      </c>
      <c r="M559" cm="1">
        <f t="array" ref="M559">_xlfn.IFS(L558="A", 4, L558="B", 3, L558="C", 2, L558="D", 1)</f>
        <v>3</v>
      </c>
    </row>
    <row r="560" spans="1:13" hidden="1" x14ac:dyDescent="0.2">
      <c r="A560">
        <v>2023</v>
      </c>
      <c r="B560">
        <v>80207</v>
      </c>
      <c r="C560" t="s">
        <v>13</v>
      </c>
      <c r="D560" t="s">
        <v>92</v>
      </c>
      <c r="E560" t="s">
        <v>15</v>
      </c>
      <c r="F560" t="s">
        <v>16</v>
      </c>
      <c r="G560">
        <v>21.5</v>
      </c>
      <c r="H560" s="1">
        <v>21170</v>
      </c>
      <c r="I560" t="s">
        <v>34</v>
      </c>
      <c r="J560">
        <v>80207</v>
      </c>
      <c r="K560" t="s">
        <v>34</v>
      </c>
      <c r="L560" s="3" t="s">
        <v>20</v>
      </c>
      <c r="M560" cm="1">
        <f t="array" ref="M560">_xlfn.IFS(L559="A", 4, L559="B", 3, L559="C", 2, L559="D", 1)</f>
        <v>3</v>
      </c>
    </row>
    <row r="561" spans="1:13" hidden="1" x14ac:dyDescent="0.2">
      <c r="A561">
        <v>2023</v>
      </c>
      <c r="B561">
        <v>80207</v>
      </c>
      <c r="C561" t="s">
        <v>13</v>
      </c>
      <c r="D561" t="s">
        <v>92</v>
      </c>
      <c r="E561" t="s">
        <v>15</v>
      </c>
      <c r="F561" t="s">
        <v>16</v>
      </c>
      <c r="G561">
        <v>21.5</v>
      </c>
      <c r="H561" s="1">
        <v>21170</v>
      </c>
      <c r="I561" t="s">
        <v>35</v>
      </c>
      <c r="J561">
        <v>80207</v>
      </c>
      <c r="K561" t="s">
        <v>35</v>
      </c>
      <c r="L561" s="3" t="s">
        <v>20</v>
      </c>
      <c r="M561" cm="1">
        <f t="array" ref="M561">_xlfn.IFS(L560="A", 4, L560="B", 3, L560="C", 2, L560="D", 1)</f>
        <v>3</v>
      </c>
    </row>
    <row r="562" spans="1:13" hidden="1" x14ac:dyDescent="0.2">
      <c r="A562">
        <v>2023</v>
      </c>
      <c r="B562">
        <v>80207</v>
      </c>
      <c r="C562" t="s">
        <v>13</v>
      </c>
      <c r="D562" t="s">
        <v>14</v>
      </c>
      <c r="E562" t="s">
        <v>15</v>
      </c>
      <c r="F562" t="s">
        <v>16</v>
      </c>
      <c r="G562">
        <v>8.6</v>
      </c>
      <c r="H562" s="1">
        <v>21170</v>
      </c>
      <c r="I562" t="s">
        <v>34</v>
      </c>
      <c r="J562">
        <v>80207</v>
      </c>
      <c r="K562" t="s">
        <v>34</v>
      </c>
      <c r="L562" s="3" t="s">
        <v>20</v>
      </c>
      <c r="M562" cm="1">
        <f t="array" ref="M562">_xlfn.IFS(L561="A", 4, L561="B", 3, L561="C", 2, L561="D", 1)</f>
        <v>3</v>
      </c>
    </row>
    <row r="563" spans="1:13" hidden="1" x14ac:dyDescent="0.2">
      <c r="A563">
        <v>2023</v>
      </c>
      <c r="B563">
        <v>80207</v>
      </c>
      <c r="C563" t="s">
        <v>13</v>
      </c>
      <c r="D563" t="s">
        <v>14</v>
      </c>
      <c r="E563" t="s">
        <v>15</v>
      </c>
      <c r="F563" t="s">
        <v>16</v>
      </c>
      <c r="G563">
        <v>8.6</v>
      </c>
      <c r="H563" s="1">
        <v>21170</v>
      </c>
      <c r="I563" t="s">
        <v>35</v>
      </c>
      <c r="J563">
        <v>80207</v>
      </c>
      <c r="K563" t="s">
        <v>35</v>
      </c>
      <c r="L563" s="3" t="s">
        <v>20</v>
      </c>
      <c r="M563" cm="1">
        <f t="array" ref="M563">_xlfn.IFS(L562="A", 4, L562="B", 3, L562="C", 2, L562="D", 1)</f>
        <v>3</v>
      </c>
    </row>
    <row r="564" spans="1:13" hidden="1" x14ac:dyDescent="0.2">
      <c r="A564">
        <v>2023</v>
      </c>
      <c r="B564">
        <v>80207</v>
      </c>
      <c r="C564" t="s">
        <v>86</v>
      </c>
      <c r="D564" t="s">
        <v>93</v>
      </c>
      <c r="E564" t="s">
        <v>15</v>
      </c>
      <c r="F564" t="s">
        <v>16</v>
      </c>
      <c r="G564">
        <v>25.2</v>
      </c>
      <c r="H564" s="1">
        <v>21170</v>
      </c>
      <c r="I564" t="s">
        <v>34</v>
      </c>
      <c r="J564">
        <v>80207</v>
      </c>
      <c r="K564" t="s">
        <v>34</v>
      </c>
      <c r="L564" s="3" t="s">
        <v>20</v>
      </c>
      <c r="M564" cm="1">
        <f t="array" ref="M564">_xlfn.IFS(L563="A", 4, L563="B", 3, L563="C", 2, L563="D", 1)</f>
        <v>3</v>
      </c>
    </row>
    <row r="565" spans="1:13" hidden="1" x14ac:dyDescent="0.2">
      <c r="A565">
        <v>2023</v>
      </c>
      <c r="B565">
        <v>80207</v>
      </c>
      <c r="C565" t="s">
        <v>86</v>
      </c>
      <c r="D565" t="s">
        <v>93</v>
      </c>
      <c r="E565" t="s">
        <v>15</v>
      </c>
      <c r="F565" t="s">
        <v>16</v>
      </c>
      <c r="G565">
        <v>25.2</v>
      </c>
      <c r="H565" s="1">
        <v>21170</v>
      </c>
      <c r="I565" t="s">
        <v>35</v>
      </c>
      <c r="J565">
        <v>80207</v>
      </c>
      <c r="K565" t="s">
        <v>35</v>
      </c>
      <c r="L565" s="3" t="s">
        <v>20</v>
      </c>
      <c r="M565" cm="1">
        <f t="array" ref="M565">_xlfn.IFS(L564="A", 4, L564="B", 3, L564="C", 2, L564="D", 1)</f>
        <v>3</v>
      </c>
    </row>
    <row r="566" spans="1:13" hidden="1" x14ac:dyDescent="0.2">
      <c r="A566">
        <v>2023</v>
      </c>
      <c r="B566">
        <v>80207</v>
      </c>
      <c r="C566" t="s">
        <v>94</v>
      </c>
      <c r="D566" t="s">
        <v>95</v>
      </c>
      <c r="E566" t="s">
        <v>15</v>
      </c>
      <c r="F566" t="s">
        <v>16</v>
      </c>
      <c r="G566">
        <v>14.6</v>
      </c>
      <c r="H566" s="1">
        <v>21170</v>
      </c>
      <c r="I566" t="s">
        <v>34</v>
      </c>
      <c r="J566">
        <v>80207</v>
      </c>
      <c r="K566" t="s">
        <v>34</v>
      </c>
      <c r="L566" s="3" t="s">
        <v>20</v>
      </c>
      <c r="M566" cm="1">
        <f t="array" ref="M566">_xlfn.IFS(L565="A", 4, L565="B", 3, L565="C", 2, L565="D", 1)</f>
        <v>3</v>
      </c>
    </row>
    <row r="567" spans="1:13" hidden="1" x14ac:dyDescent="0.2">
      <c r="A567">
        <v>2023</v>
      </c>
      <c r="B567">
        <v>80207</v>
      </c>
      <c r="C567" t="s">
        <v>94</v>
      </c>
      <c r="D567" t="s">
        <v>95</v>
      </c>
      <c r="E567" t="s">
        <v>15</v>
      </c>
      <c r="F567" t="s">
        <v>16</v>
      </c>
      <c r="G567">
        <v>14.6</v>
      </c>
      <c r="H567" s="1">
        <v>21170</v>
      </c>
      <c r="I567" t="s">
        <v>35</v>
      </c>
      <c r="J567">
        <v>80207</v>
      </c>
      <c r="K567" t="s">
        <v>35</v>
      </c>
      <c r="L567" s="3" t="s">
        <v>20</v>
      </c>
      <c r="M567" cm="1">
        <f t="array" ref="M567">_xlfn.IFS(L566="A", 4, L566="B", 3, L566="C", 2, L566="D", 1)</f>
        <v>3</v>
      </c>
    </row>
    <row r="568" spans="1:13" hidden="1" x14ac:dyDescent="0.2">
      <c r="A568">
        <v>2023</v>
      </c>
      <c r="B568">
        <v>80207</v>
      </c>
      <c r="C568" t="s">
        <v>86</v>
      </c>
      <c r="D568" t="s">
        <v>96</v>
      </c>
      <c r="E568" t="s">
        <v>15</v>
      </c>
      <c r="F568" t="s">
        <v>16</v>
      </c>
      <c r="G568">
        <v>4.9000000000000004</v>
      </c>
      <c r="H568" s="1">
        <v>21170</v>
      </c>
      <c r="I568" t="s">
        <v>34</v>
      </c>
      <c r="J568">
        <v>80207</v>
      </c>
      <c r="K568" t="s">
        <v>34</v>
      </c>
      <c r="L568" s="3" t="s">
        <v>20</v>
      </c>
      <c r="M568" cm="1">
        <f t="array" ref="M568">_xlfn.IFS(L567="A", 4, L567="B", 3, L567="C", 2, L567="D", 1)</f>
        <v>3</v>
      </c>
    </row>
    <row r="569" spans="1:13" hidden="1" x14ac:dyDescent="0.2">
      <c r="A569">
        <v>2023</v>
      </c>
      <c r="B569">
        <v>80207</v>
      </c>
      <c r="C569" t="s">
        <v>86</v>
      </c>
      <c r="D569" t="s">
        <v>96</v>
      </c>
      <c r="E569" t="s">
        <v>15</v>
      </c>
      <c r="F569" t="s">
        <v>16</v>
      </c>
      <c r="G569">
        <v>4.9000000000000004</v>
      </c>
      <c r="H569" s="1">
        <v>21170</v>
      </c>
      <c r="I569" t="s">
        <v>35</v>
      </c>
      <c r="J569">
        <v>80207</v>
      </c>
      <c r="K569" t="s">
        <v>35</v>
      </c>
      <c r="L569" s="3" t="s">
        <v>20</v>
      </c>
      <c r="M569" cm="1">
        <f t="array" ref="M569">_xlfn.IFS(L568="A", 4, L568="B", 3, L568="C", 2, L568="D", 1)</f>
        <v>3</v>
      </c>
    </row>
    <row r="570" spans="1:13" hidden="1" x14ac:dyDescent="0.2">
      <c r="A570">
        <v>2023</v>
      </c>
      <c r="B570">
        <v>80207</v>
      </c>
      <c r="C570" t="s">
        <v>13</v>
      </c>
      <c r="D570" t="s">
        <v>97</v>
      </c>
      <c r="E570" t="s">
        <v>15</v>
      </c>
      <c r="F570" t="s">
        <v>16</v>
      </c>
      <c r="G570">
        <v>29.7</v>
      </c>
      <c r="H570" s="1">
        <v>21170</v>
      </c>
      <c r="I570" t="s">
        <v>34</v>
      </c>
      <c r="J570">
        <v>80207</v>
      </c>
      <c r="K570" t="s">
        <v>34</v>
      </c>
      <c r="L570" s="3" t="s">
        <v>20</v>
      </c>
      <c r="M570" cm="1">
        <f t="array" ref="M570">_xlfn.IFS(L569="A", 4, L569="B", 3, L569="C", 2, L569="D", 1)</f>
        <v>3</v>
      </c>
    </row>
    <row r="571" spans="1:13" hidden="1" x14ac:dyDescent="0.2">
      <c r="A571">
        <v>2023</v>
      </c>
      <c r="B571">
        <v>80207</v>
      </c>
      <c r="C571" t="s">
        <v>13</v>
      </c>
      <c r="D571" t="s">
        <v>97</v>
      </c>
      <c r="E571" t="s">
        <v>15</v>
      </c>
      <c r="F571" t="s">
        <v>16</v>
      </c>
      <c r="G571">
        <v>29.7</v>
      </c>
      <c r="H571" s="1">
        <v>21170</v>
      </c>
      <c r="I571" t="s">
        <v>35</v>
      </c>
      <c r="J571">
        <v>80207</v>
      </c>
      <c r="K571" t="s">
        <v>35</v>
      </c>
      <c r="L571" s="3" t="s">
        <v>20</v>
      </c>
      <c r="M571" cm="1">
        <f t="array" ref="M571">_xlfn.IFS(L570="A", 4, L570="B", 3, L570="C", 2, L570="D", 1)</f>
        <v>3</v>
      </c>
    </row>
    <row r="572" spans="1:13" hidden="1" x14ac:dyDescent="0.2">
      <c r="A572">
        <v>2023</v>
      </c>
      <c r="B572">
        <v>80207</v>
      </c>
      <c r="C572" t="s">
        <v>86</v>
      </c>
      <c r="D572" t="s">
        <v>98</v>
      </c>
      <c r="E572" t="s">
        <v>15</v>
      </c>
      <c r="F572" t="s">
        <v>16</v>
      </c>
      <c r="G572">
        <v>6.6</v>
      </c>
      <c r="H572" s="1">
        <v>21170</v>
      </c>
      <c r="I572" t="s">
        <v>34</v>
      </c>
      <c r="J572">
        <v>80207</v>
      </c>
      <c r="K572" t="s">
        <v>34</v>
      </c>
      <c r="L572" s="3" t="s">
        <v>20</v>
      </c>
      <c r="M572" cm="1">
        <f t="array" ref="M572">_xlfn.IFS(L571="A", 4, L571="B", 3, L571="C", 2, L571="D", 1)</f>
        <v>3</v>
      </c>
    </row>
    <row r="573" spans="1:13" hidden="1" x14ac:dyDescent="0.2">
      <c r="A573">
        <v>2023</v>
      </c>
      <c r="B573">
        <v>80207</v>
      </c>
      <c r="C573" t="s">
        <v>86</v>
      </c>
      <c r="D573" t="s">
        <v>98</v>
      </c>
      <c r="E573" t="s">
        <v>15</v>
      </c>
      <c r="F573" t="s">
        <v>16</v>
      </c>
      <c r="G573">
        <v>6.6</v>
      </c>
      <c r="H573" s="1">
        <v>21170</v>
      </c>
      <c r="I573" t="s">
        <v>35</v>
      </c>
      <c r="J573">
        <v>80207</v>
      </c>
      <c r="K573" t="s">
        <v>35</v>
      </c>
      <c r="L573" s="3" t="s">
        <v>20</v>
      </c>
      <c r="M573" cm="1">
        <f t="array" ref="M573">_xlfn.IFS(L572="A", 4, L572="B", 3, L572="C", 2, L572="D", 1)</f>
        <v>3</v>
      </c>
    </row>
    <row r="574" spans="1:13" hidden="1" x14ac:dyDescent="0.2">
      <c r="A574">
        <v>2023</v>
      </c>
      <c r="B574">
        <v>80207</v>
      </c>
      <c r="C574" t="s">
        <v>77</v>
      </c>
      <c r="D574" t="s">
        <v>99</v>
      </c>
      <c r="E574" t="s">
        <v>15</v>
      </c>
      <c r="F574" t="s">
        <v>16</v>
      </c>
      <c r="G574">
        <v>17.100000000000001</v>
      </c>
      <c r="H574" s="1">
        <v>21170</v>
      </c>
      <c r="I574" t="s">
        <v>34</v>
      </c>
      <c r="J574">
        <v>80207</v>
      </c>
      <c r="K574" t="s">
        <v>34</v>
      </c>
      <c r="L574" s="3" t="s">
        <v>20</v>
      </c>
      <c r="M574" cm="1">
        <f t="array" ref="M574">_xlfn.IFS(L573="A", 4, L573="B", 3, L573="C", 2, L573="D", 1)</f>
        <v>3</v>
      </c>
    </row>
    <row r="575" spans="1:13" hidden="1" x14ac:dyDescent="0.2">
      <c r="A575">
        <v>2023</v>
      </c>
      <c r="B575">
        <v>80207</v>
      </c>
      <c r="C575" t="s">
        <v>77</v>
      </c>
      <c r="D575" t="s">
        <v>99</v>
      </c>
      <c r="E575" t="s">
        <v>15</v>
      </c>
      <c r="F575" t="s">
        <v>16</v>
      </c>
      <c r="G575">
        <v>17.100000000000001</v>
      </c>
      <c r="H575" s="1">
        <v>21170</v>
      </c>
      <c r="I575" t="s">
        <v>35</v>
      </c>
      <c r="J575">
        <v>80207</v>
      </c>
      <c r="K575" t="s">
        <v>35</v>
      </c>
      <c r="L575" s="3" t="s">
        <v>20</v>
      </c>
      <c r="M575" cm="1">
        <f t="array" ref="M575">_xlfn.IFS(L574="A", 4, L574="B", 3, L574="C", 2, L574="D", 1)</f>
        <v>3</v>
      </c>
    </row>
    <row r="576" spans="1:13" hidden="1" x14ac:dyDescent="0.2">
      <c r="A576">
        <v>2022</v>
      </c>
      <c r="B576">
        <v>80207</v>
      </c>
      <c r="C576" t="s">
        <v>74</v>
      </c>
      <c r="D576" t="s">
        <v>100</v>
      </c>
      <c r="E576" t="s">
        <v>15</v>
      </c>
      <c r="F576" t="s">
        <v>16</v>
      </c>
      <c r="G576">
        <v>75.599999999999994</v>
      </c>
      <c r="H576" s="1">
        <v>21170</v>
      </c>
      <c r="I576" t="s">
        <v>34</v>
      </c>
      <c r="J576">
        <v>80207</v>
      </c>
      <c r="K576" t="s">
        <v>34</v>
      </c>
      <c r="L576" s="3" t="s">
        <v>20</v>
      </c>
      <c r="M576" cm="1">
        <f t="array" ref="M576">_xlfn.IFS(L575="A", 4, L575="B", 3, L575="C", 2, L575="D", 1)</f>
        <v>3</v>
      </c>
    </row>
    <row r="577" spans="1:13" hidden="1" x14ac:dyDescent="0.2">
      <c r="A577">
        <v>2022</v>
      </c>
      <c r="B577">
        <v>80207</v>
      </c>
      <c r="C577" t="s">
        <v>74</v>
      </c>
      <c r="D577" t="s">
        <v>100</v>
      </c>
      <c r="E577" t="s">
        <v>15</v>
      </c>
      <c r="F577" t="s">
        <v>16</v>
      </c>
      <c r="G577">
        <v>75.599999999999994</v>
      </c>
      <c r="H577" s="1">
        <v>21170</v>
      </c>
      <c r="I577" t="s">
        <v>35</v>
      </c>
      <c r="J577">
        <v>80207</v>
      </c>
      <c r="K577" t="s">
        <v>35</v>
      </c>
      <c r="L577" s="3" t="s">
        <v>20</v>
      </c>
      <c r="M577" cm="1">
        <f t="array" ref="M577">_xlfn.IFS(L576="A", 4, L576="B", 3, L576="C", 2, L576="D", 1)</f>
        <v>3</v>
      </c>
    </row>
    <row r="578" spans="1:13" hidden="1" x14ac:dyDescent="0.2">
      <c r="A578">
        <v>2023</v>
      </c>
      <c r="B578">
        <v>80207</v>
      </c>
      <c r="C578" t="s">
        <v>94</v>
      </c>
      <c r="D578" t="s">
        <v>101</v>
      </c>
      <c r="E578" t="s">
        <v>15</v>
      </c>
      <c r="F578" t="s">
        <v>16</v>
      </c>
      <c r="G578">
        <v>14.5</v>
      </c>
      <c r="H578" s="1">
        <v>21170</v>
      </c>
      <c r="I578" t="s">
        <v>34</v>
      </c>
      <c r="J578">
        <v>80207</v>
      </c>
      <c r="K578" t="s">
        <v>34</v>
      </c>
      <c r="L578" s="3" t="s">
        <v>20</v>
      </c>
      <c r="M578" cm="1">
        <f t="array" ref="M578">_xlfn.IFS(L577="A", 4, L577="B", 3, L577="C", 2, L577="D", 1)</f>
        <v>3</v>
      </c>
    </row>
    <row r="579" spans="1:13" hidden="1" x14ac:dyDescent="0.2">
      <c r="A579">
        <v>2023</v>
      </c>
      <c r="B579">
        <v>80207</v>
      </c>
      <c r="C579" t="s">
        <v>94</v>
      </c>
      <c r="D579" t="s">
        <v>101</v>
      </c>
      <c r="E579" t="s">
        <v>15</v>
      </c>
      <c r="F579" t="s">
        <v>16</v>
      </c>
      <c r="G579">
        <v>14.5</v>
      </c>
      <c r="H579" s="1">
        <v>21170</v>
      </c>
      <c r="I579" t="s">
        <v>35</v>
      </c>
      <c r="J579">
        <v>80207</v>
      </c>
      <c r="K579" t="s">
        <v>35</v>
      </c>
      <c r="L579" s="3" t="s">
        <v>20</v>
      </c>
      <c r="M579" cm="1">
        <f t="array" ref="M579">_xlfn.IFS(L578="A", 4, L578="B", 3, L578="C", 2, L578="D", 1)</f>
        <v>3</v>
      </c>
    </row>
    <row r="580" spans="1:13" hidden="1" x14ac:dyDescent="0.2">
      <c r="A580">
        <v>2023</v>
      </c>
      <c r="B580">
        <v>80207</v>
      </c>
      <c r="C580" t="s">
        <v>86</v>
      </c>
      <c r="D580" t="s">
        <v>102</v>
      </c>
      <c r="E580" t="s">
        <v>15</v>
      </c>
      <c r="F580" t="s">
        <v>16</v>
      </c>
      <c r="G580">
        <v>10.4</v>
      </c>
      <c r="H580" s="1">
        <v>21170</v>
      </c>
      <c r="I580" t="s">
        <v>34</v>
      </c>
      <c r="J580">
        <v>80207</v>
      </c>
      <c r="K580" t="s">
        <v>34</v>
      </c>
      <c r="L580" s="3" t="s">
        <v>20</v>
      </c>
      <c r="M580" cm="1">
        <f t="array" ref="M580">_xlfn.IFS(L579="A", 4, L579="B", 3, L579="C", 2, L579="D", 1)</f>
        <v>3</v>
      </c>
    </row>
    <row r="581" spans="1:13" hidden="1" x14ac:dyDescent="0.2">
      <c r="A581">
        <v>2023</v>
      </c>
      <c r="B581">
        <v>80207</v>
      </c>
      <c r="C581" t="s">
        <v>86</v>
      </c>
      <c r="D581" t="s">
        <v>102</v>
      </c>
      <c r="E581" t="s">
        <v>15</v>
      </c>
      <c r="F581" t="s">
        <v>16</v>
      </c>
      <c r="G581">
        <v>10.4</v>
      </c>
      <c r="H581" s="1">
        <v>21170</v>
      </c>
      <c r="I581" t="s">
        <v>35</v>
      </c>
      <c r="J581">
        <v>80207</v>
      </c>
      <c r="K581" t="s">
        <v>35</v>
      </c>
      <c r="L581" s="3" t="s">
        <v>20</v>
      </c>
      <c r="M581" cm="1">
        <f t="array" ref="M581">_xlfn.IFS(L580="A", 4, L580="B", 3, L580="C", 2, L580="D", 1)</f>
        <v>3</v>
      </c>
    </row>
    <row r="582" spans="1:13" hidden="1" x14ac:dyDescent="0.2">
      <c r="A582">
        <v>2023</v>
      </c>
      <c r="B582">
        <v>80207</v>
      </c>
      <c r="C582" t="s">
        <v>13</v>
      </c>
      <c r="D582" t="s">
        <v>103</v>
      </c>
      <c r="E582" t="s">
        <v>15</v>
      </c>
      <c r="F582" t="s">
        <v>16</v>
      </c>
      <c r="G582">
        <v>22.9</v>
      </c>
      <c r="H582" s="1">
        <v>21170</v>
      </c>
      <c r="I582" t="s">
        <v>34</v>
      </c>
      <c r="J582">
        <v>80207</v>
      </c>
      <c r="K582" t="s">
        <v>34</v>
      </c>
      <c r="L582" s="3" t="s">
        <v>20</v>
      </c>
      <c r="M582" cm="1">
        <f t="array" ref="M582">_xlfn.IFS(L581="A", 4, L581="B", 3, L581="C", 2, L581="D", 1)</f>
        <v>3</v>
      </c>
    </row>
    <row r="583" spans="1:13" hidden="1" x14ac:dyDescent="0.2">
      <c r="A583">
        <v>2023</v>
      </c>
      <c r="B583">
        <v>80207</v>
      </c>
      <c r="C583" t="s">
        <v>13</v>
      </c>
      <c r="D583" t="s">
        <v>103</v>
      </c>
      <c r="E583" t="s">
        <v>15</v>
      </c>
      <c r="F583" t="s">
        <v>16</v>
      </c>
      <c r="G583">
        <v>22.9</v>
      </c>
      <c r="H583" s="1">
        <v>21170</v>
      </c>
      <c r="I583" t="s">
        <v>35</v>
      </c>
      <c r="J583">
        <v>80207</v>
      </c>
      <c r="K583" t="s">
        <v>35</v>
      </c>
      <c r="L583" s="3" t="s">
        <v>20</v>
      </c>
      <c r="M583" cm="1">
        <f t="array" ref="M583">_xlfn.IFS(L582="A", 4, L582="B", 3, L582="C", 2, L582="D", 1)</f>
        <v>3</v>
      </c>
    </row>
    <row r="584" spans="1:13" hidden="1" x14ac:dyDescent="0.2">
      <c r="A584">
        <v>2023</v>
      </c>
      <c r="B584">
        <v>80207</v>
      </c>
      <c r="C584" t="s">
        <v>94</v>
      </c>
      <c r="D584" t="s">
        <v>104</v>
      </c>
      <c r="E584" t="s">
        <v>15</v>
      </c>
      <c r="F584" t="s">
        <v>16</v>
      </c>
      <c r="G584">
        <v>11</v>
      </c>
      <c r="H584" s="1">
        <v>21170</v>
      </c>
      <c r="I584" t="s">
        <v>34</v>
      </c>
      <c r="J584">
        <v>80207</v>
      </c>
      <c r="K584" t="s">
        <v>34</v>
      </c>
      <c r="L584" s="3" t="s">
        <v>20</v>
      </c>
      <c r="M584" cm="1">
        <f t="array" ref="M584">_xlfn.IFS(L583="A", 4, L583="B", 3, L583="C", 2, L583="D", 1)</f>
        <v>3</v>
      </c>
    </row>
    <row r="585" spans="1:13" hidden="1" x14ac:dyDescent="0.2">
      <c r="A585">
        <v>2023</v>
      </c>
      <c r="B585">
        <v>80207</v>
      </c>
      <c r="C585" t="s">
        <v>94</v>
      </c>
      <c r="D585" t="s">
        <v>104</v>
      </c>
      <c r="E585" t="s">
        <v>15</v>
      </c>
      <c r="F585" t="s">
        <v>16</v>
      </c>
      <c r="G585">
        <v>11</v>
      </c>
      <c r="H585" s="1">
        <v>21170</v>
      </c>
      <c r="I585" t="s">
        <v>35</v>
      </c>
      <c r="J585">
        <v>80207</v>
      </c>
      <c r="K585" t="s">
        <v>35</v>
      </c>
      <c r="L585" s="3" t="s">
        <v>20</v>
      </c>
      <c r="M585" cm="1">
        <f t="array" ref="M585">_xlfn.IFS(L584="A", 4, L584="B", 3, L584="C", 2, L584="D", 1)</f>
        <v>3</v>
      </c>
    </row>
    <row r="586" spans="1:13" hidden="1" x14ac:dyDescent="0.2">
      <c r="A586">
        <v>2023</v>
      </c>
      <c r="B586">
        <v>80207</v>
      </c>
      <c r="C586" t="s">
        <v>86</v>
      </c>
      <c r="D586" t="s">
        <v>105</v>
      </c>
      <c r="E586" t="s">
        <v>15</v>
      </c>
      <c r="F586" t="s">
        <v>16</v>
      </c>
      <c r="G586">
        <v>3.1</v>
      </c>
      <c r="H586" s="1">
        <v>21170</v>
      </c>
      <c r="I586" t="s">
        <v>34</v>
      </c>
      <c r="J586">
        <v>80207</v>
      </c>
      <c r="K586" t="s">
        <v>34</v>
      </c>
      <c r="L586" s="3" t="s">
        <v>20</v>
      </c>
      <c r="M586" cm="1">
        <f t="array" ref="M586">_xlfn.IFS(L585="A", 4, L585="B", 3, L585="C", 2, L585="D", 1)</f>
        <v>3</v>
      </c>
    </row>
    <row r="587" spans="1:13" hidden="1" x14ac:dyDescent="0.2">
      <c r="A587">
        <v>2023</v>
      </c>
      <c r="B587">
        <v>80207</v>
      </c>
      <c r="C587" t="s">
        <v>86</v>
      </c>
      <c r="D587" t="s">
        <v>105</v>
      </c>
      <c r="E587" t="s">
        <v>15</v>
      </c>
      <c r="F587" t="s">
        <v>16</v>
      </c>
      <c r="G587">
        <v>3.1</v>
      </c>
      <c r="H587" s="1">
        <v>21170</v>
      </c>
      <c r="I587" t="s">
        <v>35</v>
      </c>
      <c r="J587">
        <v>80207</v>
      </c>
      <c r="K587" t="s">
        <v>35</v>
      </c>
      <c r="L587" s="3" t="s">
        <v>20</v>
      </c>
      <c r="M587" cm="1">
        <f t="array" ref="M587">_xlfn.IFS(L586="A", 4, L586="B", 3, L586="C", 2, L586="D", 1)</f>
        <v>3</v>
      </c>
    </row>
    <row r="588" spans="1:13" hidden="1" x14ac:dyDescent="0.2">
      <c r="A588">
        <v>2022</v>
      </c>
      <c r="B588">
        <v>80207</v>
      </c>
      <c r="C588" t="s">
        <v>77</v>
      </c>
      <c r="D588" t="s">
        <v>106</v>
      </c>
      <c r="E588" t="s">
        <v>15</v>
      </c>
      <c r="F588" t="s">
        <v>16</v>
      </c>
      <c r="G588">
        <v>30.1</v>
      </c>
      <c r="H588" s="1">
        <v>21170</v>
      </c>
      <c r="I588" t="s">
        <v>34</v>
      </c>
      <c r="J588">
        <v>80207</v>
      </c>
      <c r="K588" t="s">
        <v>34</v>
      </c>
      <c r="L588" s="3" t="s">
        <v>20</v>
      </c>
      <c r="M588" cm="1">
        <f t="array" ref="M588">_xlfn.IFS(L587="A", 4, L587="B", 3, L587="C", 2, L587="D", 1)</f>
        <v>3</v>
      </c>
    </row>
    <row r="589" spans="1:13" hidden="1" x14ac:dyDescent="0.2">
      <c r="A589">
        <v>2022</v>
      </c>
      <c r="B589">
        <v>80207</v>
      </c>
      <c r="C589" t="s">
        <v>77</v>
      </c>
      <c r="D589" t="s">
        <v>106</v>
      </c>
      <c r="E589" t="s">
        <v>15</v>
      </c>
      <c r="F589" t="s">
        <v>16</v>
      </c>
      <c r="G589">
        <v>30.1</v>
      </c>
      <c r="H589" s="1">
        <v>21170</v>
      </c>
      <c r="I589" t="s">
        <v>35</v>
      </c>
      <c r="J589">
        <v>80207</v>
      </c>
      <c r="K589" t="s">
        <v>35</v>
      </c>
      <c r="L589" s="3" t="s">
        <v>20</v>
      </c>
      <c r="M589" cm="1">
        <f t="array" ref="M589">_xlfn.IFS(L588="A", 4, L588="B", 3, L588="C", 2, L588="D", 1)</f>
        <v>3</v>
      </c>
    </row>
    <row r="590" spans="1:13" hidden="1" x14ac:dyDescent="0.2">
      <c r="A590">
        <v>2023</v>
      </c>
      <c r="B590">
        <v>80207</v>
      </c>
      <c r="C590" t="s">
        <v>13</v>
      </c>
      <c r="D590" t="s">
        <v>107</v>
      </c>
      <c r="E590" t="s">
        <v>15</v>
      </c>
      <c r="F590" t="s">
        <v>16</v>
      </c>
      <c r="G590">
        <v>2.9</v>
      </c>
      <c r="H590" s="1">
        <v>21170</v>
      </c>
      <c r="I590" t="s">
        <v>34</v>
      </c>
      <c r="J590">
        <v>80207</v>
      </c>
      <c r="K590" t="s">
        <v>34</v>
      </c>
      <c r="L590" s="3" t="s">
        <v>20</v>
      </c>
      <c r="M590" cm="1">
        <f t="array" ref="M590">_xlfn.IFS(L589="A", 4, L589="B", 3, L589="C", 2, L589="D", 1)</f>
        <v>3</v>
      </c>
    </row>
    <row r="591" spans="1:13" hidden="1" x14ac:dyDescent="0.2">
      <c r="A591">
        <v>2023</v>
      </c>
      <c r="B591">
        <v>80207</v>
      </c>
      <c r="C591" t="s">
        <v>13</v>
      </c>
      <c r="D591" t="s">
        <v>107</v>
      </c>
      <c r="E591" t="s">
        <v>15</v>
      </c>
      <c r="F591" t="s">
        <v>16</v>
      </c>
      <c r="G591">
        <v>2.9</v>
      </c>
      <c r="H591" s="1">
        <v>21170</v>
      </c>
      <c r="I591" t="s">
        <v>35</v>
      </c>
      <c r="J591">
        <v>80207</v>
      </c>
      <c r="K591" t="s">
        <v>35</v>
      </c>
      <c r="L591" s="3" t="s">
        <v>20</v>
      </c>
      <c r="M591" cm="1">
        <f t="array" ref="M591">_xlfn.IFS(L590="A", 4, L590="B", 3, L590="C", 2, L590="D", 1)</f>
        <v>3</v>
      </c>
    </row>
    <row r="592" spans="1:13" hidden="1" x14ac:dyDescent="0.2">
      <c r="A592">
        <v>2022</v>
      </c>
      <c r="B592">
        <v>80207</v>
      </c>
      <c r="C592" t="s">
        <v>13</v>
      </c>
      <c r="D592" t="s">
        <v>108</v>
      </c>
      <c r="E592" t="s">
        <v>15</v>
      </c>
      <c r="F592" t="s">
        <v>16</v>
      </c>
      <c r="G592">
        <v>10.8</v>
      </c>
      <c r="H592" s="1">
        <v>21170</v>
      </c>
      <c r="I592" t="s">
        <v>34</v>
      </c>
      <c r="J592">
        <v>80207</v>
      </c>
      <c r="K592" t="s">
        <v>34</v>
      </c>
      <c r="L592" s="3" t="s">
        <v>20</v>
      </c>
      <c r="M592" cm="1">
        <f t="array" ref="M592">_xlfn.IFS(L591="A", 4, L591="B", 3, L591="C", 2, L591="D", 1)</f>
        <v>3</v>
      </c>
    </row>
    <row r="593" spans="1:13" hidden="1" x14ac:dyDescent="0.2">
      <c r="A593">
        <v>2022</v>
      </c>
      <c r="B593">
        <v>80207</v>
      </c>
      <c r="C593" t="s">
        <v>13</v>
      </c>
      <c r="D593" t="s">
        <v>108</v>
      </c>
      <c r="E593" t="s">
        <v>15</v>
      </c>
      <c r="F593" t="s">
        <v>16</v>
      </c>
      <c r="G593">
        <v>10.8</v>
      </c>
      <c r="H593" s="1">
        <v>21170</v>
      </c>
      <c r="I593" t="s">
        <v>35</v>
      </c>
      <c r="J593">
        <v>80207</v>
      </c>
      <c r="K593" t="s">
        <v>35</v>
      </c>
      <c r="L593" s="3" t="s">
        <v>20</v>
      </c>
      <c r="M593" cm="1">
        <f t="array" ref="M593">_xlfn.IFS(L592="A", 4, L592="B", 3, L592="C", 2, L592="D", 1)</f>
        <v>3</v>
      </c>
    </row>
    <row r="594" spans="1:13" hidden="1" x14ac:dyDescent="0.2">
      <c r="A594">
        <v>2023</v>
      </c>
      <c r="B594">
        <v>80207</v>
      </c>
      <c r="C594" t="s">
        <v>86</v>
      </c>
      <c r="D594" t="s">
        <v>109</v>
      </c>
      <c r="E594" t="s">
        <v>15</v>
      </c>
      <c r="F594" t="s">
        <v>16</v>
      </c>
      <c r="G594">
        <v>4.4000000000000004</v>
      </c>
      <c r="H594" s="1">
        <v>21170</v>
      </c>
      <c r="I594" t="s">
        <v>34</v>
      </c>
      <c r="J594">
        <v>80207</v>
      </c>
      <c r="K594" t="s">
        <v>34</v>
      </c>
      <c r="L594" s="3" t="s">
        <v>20</v>
      </c>
      <c r="M594" cm="1">
        <f t="array" ref="M594">_xlfn.IFS(L593="A", 4, L593="B", 3, L593="C", 2, L593="D", 1)</f>
        <v>3</v>
      </c>
    </row>
    <row r="595" spans="1:13" hidden="1" x14ac:dyDescent="0.2">
      <c r="A595">
        <v>2023</v>
      </c>
      <c r="B595">
        <v>80207</v>
      </c>
      <c r="C595" t="s">
        <v>86</v>
      </c>
      <c r="D595" t="s">
        <v>109</v>
      </c>
      <c r="E595" t="s">
        <v>15</v>
      </c>
      <c r="F595" t="s">
        <v>16</v>
      </c>
      <c r="G595">
        <v>4.4000000000000004</v>
      </c>
      <c r="H595" s="1">
        <v>21170</v>
      </c>
      <c r="I595" t="s">
        <v>35</v>
      </c>
      <c r="J595">
        <v>80207</v>
      </c>
      <c r="K595" t="s">
        <v>35</v>
      </c>
      <c r="L595" s="3" t="s">
        <v>20</v>
      </c>
      <c r="M595" cm="1">
        <f t="array" ref="M595">_xlfn.IFS(L594="A", 4, L594="B", 3, L594="C", 2, L594="D", 1)</f>
        <v>3</v>
      </c>
    </row>
    <row r="596" spans="1:13" hidden="1" x14ac:dyDescent="0.2">
      <c r="A596">
        <v>2023</v>
      </c>
      <c r="B596">
        <v>80209</v>
      </c>
      <c r="C596" t="s">
        <v>74</v>
      </c>
      <c r="D596" t="s">
        <v>75</v>
      </c>
      <c r="E596" t="s">
        <v>15</v>
      </c>
      <c r="F596" t="s">
        <v>16</v>
      </c>
      <c r="G596">
        <v>6.1</v>
      </c>
      <c r="H596" s="1">
        <v>27061</v>
      </c>
      <c r="I596" t="s">
        <v>32</v>
      </c>
      <c r="J596">
        <v>80209</v>
      </c>
      <c r="K596" t="s">
        <v>32</v>
      </c>
      <c r="L596" s="3" t="s">
        <v>23</v>
      </c>
      <c r="M596" cm="1">
        <f t="array" ref="M596">_xlfn.IFS(L595="A", 4, L595="B", 3, L595="C", 2, L595="D", 1)</f>
        <v>3</v>
      </c>
    </row>
    <row r="597" spans="1:13" hidden="1" x14ac:dyDescent="0.2">
      <c r="A597">
        <v>2023</v>
      </c>
      <c r="B597">
        <v>80209</v>
      </c>
      <c r="C597" t="s">
        <v>74</v>
      </c>
      <c r="D597" t="s">
        <v>75</v>
      </c>
      <c r="E597" t="s">
        <v>15</v>
      </c>
      <c r="F597" t="s">
        <v>16</v>
      </c>
      <c r="G597">
        <v>6.1</v>
      </c>
      <c r="H597" s="1">
        <v>27061</v>
      </c>
      <c r="I597" t="s">
        <v>17</v>
      </c>
      <c r="J597">
        <v>80209</v>
      </c>
      <c r="K597" t="s">
        <v>17</v>
      </c>
      <c r="L597" s="3" t="s">
        <v>18</v>
      </c>
      <c r="M597" cm="1">
        <f t="array" ref="M597">_xlfn.IFS(L596="A", 4, L596="B", 3, L596="C", 2, L596="D", 1)</f>
        <v>1</v>
      </c>
    </row>
    <row r="598" spans="1:13" hidden="1" x14ac:dyDescent="0.2">
      <c r="A598">
        <v>2023</v>
      </c>
      <c r="B598">
        <v>80209</v>
      </c>
      <c r="C598" t="s">
        <v>74</v>
      </c>
      <c r="D598" t="s">
        <v>75</v>
      </c>
      <c r="E598" t="s">
        <v>15</v>
      </c>
      <c r="F598" t="s">
        <v>16</v>
      </c>
      <c r="G598">
        <v>6.1</v>
      </c>
      <c r="H598" s="1">
        <v>27061</v>
      </c>
      <c r="I598" t="s">
        <v>36</v>
      </c>
      <c r="J598">
        <v>80209</v>
      </c>
      <c r="K598" t="s">
        <v>36</v>
      </c>
      <c r="L598" s="3" t="s">
        <v>18</v>
      </c>
      <c r="M598" cm="1">
        <f t="array" ref="M598">_xlfn.IFS(L597="A", 4, L597="B", 3, L597="C", 2, L597="D", 1)</f>
        <v>4</v>
      </c>
    </row>
    <row r="599" spans="1:13" hidden="1" x14ac:dyDescent="0.2">
      <c r="A599">
        <v>2023</v>
      </c>
      <c r="B599">
        <v>80209</v>
      </c>
      <c r="C599" t="s">
        <v>74</v>
      </c>
      <c r="D599" t="s">
        <v>75</v>
      </c>
      <c r="E599" t="s">
        <v>15</v>
      </c>
      <c r="F599" t="s">
        <v>16</v>
      </c>
      <c r="G599">
        <v>6.1</v>
      </c>
      <c r="H599" s="1">
        <v>27061</v>
      </c>
      <c r="I599" t="s">
        <v>37</v>
      </c>
      <c r="J599">
        <v>80209</v>
      </c>
      <c r="K599" t="s">
        <v>37</v>
      </c>
      <c r="L599" s="3" t="s">
        <v>18</v>
      </c>
      <c r="M599" cm="1">
        <f t="array" ref="M599">_xlfn.IFS(L598="A", 4, L598="B", 3, L598="C", 2, L598="D", 1)</f>
        <v>4</v>
      </c>
    </row>
    <row r="600" spans="1:13" hidden="1" x14ac:dyDescent="0.2">
      <c r="A600">
        <v>2023</v>
      </c>
      <c r="B600">
        <v>80209</v>
      </c>
      <c r="C600" t="s">
        <v>13</v>
      </c>
      <c r="D600" t="s">
        <v>76</v>
      </c>
      <c r="E600" t="s">
        <v>15</v>
      </c>
      <c r="F600" t="s">
        <v>16</v>
      </c>
      <c r="G600">
        <v>18.899999999999999</v>
      </c>
      <c r="H600" s="1">
        <v>27061</v>
      </c>
      <c r="I600" t="s">
        <v>32</v>
      </c>
      <c r="J600">
        <v>80209</v>
      </c>
      <c r="K600" t="s">
        <v>32</v>
      </c>
      <c r="L600" s="3" t="s">
        <v>23</v>
      </c>
      <c r="M600" cm="1">
        <f t="array" ref="M600">_xlfn.IFS(L599="A", 4, L599="B", 3, L599="C", 2, L599="D", 1)</f>
        <v>4</v>
      </c>
    </row>
    <row r="601" spans="1:13" hidden="1" x14ac:dyDescent="0.2">
      <c r="A601">
        <v>2023</v>
      </c>
      <c r="B601">
        <v>80209</v>
      </c>
      <c r="C601" t="s">
        <v>13</v>
      </c>
      <c r="D601" t="s">
        <v>76</v>
      </c>
      <c r="E601" t="s">
        <v>15</v>
      </c>
      <c r="F601" t="s">
        <v>16</v>
      </c>
      <c r="G601">
        <v>18.899999999999999</v>
      </c>
      <c r="H601" s="1">
        <v>27061</v>
      </c>
      <c r="I601" t="s">
        <v>17</v>
      </c>
      <c r="J601">
        <v>80209</v>
      </c>
      <c r="K601" t="s">
        <v>17</v>
      </c>
      <c r="L601" s="3" t="s">
        <v>18</v>
      </c>
      <c r="M601" cm="1">
        <f t="array" ref="M601">_xlfn.IFS(L600="A", 4, L600="B", 3, L600="C", 2, L600="D", 1)</f>
        <v>1</v>
      </c>
    </row>
    <row r="602" spans="1:13" hidden="1" x14ac:dyDescent="0.2">
      <c r="A602">
        <v>2023</v>
      </c>
      <c r="B602">
        <v>80209</v>
      </c>
      <c r="C602" t="s">
        <v>13</v>
      </c>
      <c r="D602" t="s">
        <v>76</v>
      </c>
      <c r="E602" t="s">
        <v>15</v>
      </c>
      <c r="F602" t="s">
        <v>16</v>
      </c>
      <c r="G602">
        <v>18.899999999999999</v>
      </c>
      <c r="H602" s="1">
        <v>27061</v>
      </c>
      <c r="I602" t="s">
        <v>36</v>
      </c>
      <c r="J602">
        <v>80209</v>
      </c>
      <c r="K602" t="s">
        <v>36</v>
      </c>
      <c r="L602" s="3" t="s">
        <v>18</v>
      </c>
      <c r="M602" cm="1">
        <f t="array" ref="M602">_xlfn.IFS(L601="A", 4, L601="B", 3, L601="C", 2, L601="D", 1)</f>
        <v>4</v>
      </c>
    </row>
    <row r="603" spans="1:13" hidden="1" x14ac:dyDescent="0.2">
      <c r="A603">
        <v>2023</v>
      </c>
      <c r="B603">
        <v>80209</v>
      </c>
      <c r="C603" t="s">
        <v>13</v>
      </c>
      <c r="D603" t="s">
        <v>76</v>
      </c>
      <c r="E603" t="s">
        <v>15</v>
      </c>
      <c r="F603" t="s">
        <v>16</v>
      </c>
      <c r="G603">
        <v>18.899999999999999</v>
      </c>
      <c r="H603" s="1">
        <v>27061</v>
      </c>
      <c r="I603" t="s">
        <v>37</v>
      </c>
      <c r="J603">
        <v>80209</v>
      </c>
      <c r="K603" t="s">
        <v>37</v>
      </c>
      <c r="L603" s="3" t="s">
        <v>18</v>
      </c>
      <c r="M603" cm="1">
        <f t="array" ref="M603">_xlfn.IFS(L602="A", 4, L602="B", 3, L602="C", 2, L602="D", 1)</f>
        <v>4</v>
      </c>
    </row>
    <row r="604" spans="1:13" hidden="1" x14ac:dyDescent="0.2">
      <c r="A604">
        <v>2023</v>
      </c>
      <c r="B604">
        <v>80209</v>
      </c>
      <c r="C604" t="s">
        <v>77</v>
      </c>
      <c r="D604" t="s">
        <v>78</v>
      </c>
      <c r="E604" t="s">
        <v>15</v>
      </c>
      <c r="F604" t="s">
        <v>16</v>
      </c>
      <c r="G604">
        <v>27.1</v>
      </c>
      <c r="H604" s="1">
        <v>27061</v>
      </c>
      <c r="I604" t="s">
        <v>32</v>
      </c>
      <c r="J604">
        <v>80209</v>
      </c>
      <c r="K604" t="s">
        <v>32</v>
      </c>
      <c r="L604" s="3" t="s">
        <v>23</v>
      </c>
      <c r="M604" cm="1">
        <f t="array" ref="M604">_xlfn.IFS(L603="A", 4, L603="B", 3, L603="C", 2, L603="D", 1)</f>
        <v>4</v>
      </c>
    </row>
    <row r="605" spans="1:13" hidden="1" x14ac:dyDescent="0.2">
      <c r="A605">
        <v>2023</v>
      </c>
      <c r="B605">
        <v>80209</v>
      </c>
      <c r="C605" t="s">
        <v>77</v>
      </c>
      <c r="D605" t="s">
        <v>78</v>
      </c>
      <c r="E605" t="s">
        <v>15</v>
      </c>
      <c r="F605" t="s">
        <v>16</v>
      </c>
      <c r="G605">
        <v>27.1</v>
      </c>
      <c r="H605" s="1">
        <v>27061</v>
      </c>
      <c r="I605" t="s">
        <v>17</v>
      </c>
      <c r="J605">
        <v>80209</v>
      </c>
      <c r="K605" t="s">
        <v>17</v>
      </c>
      <c r="L605" s="3" t="s">
        <v>18</v>
      </c>
      <c r="M605" cm="1">
        <f t="array" ref="M605">_xlfn.IFS(L604="A", 4, L604="B", 3, L604="C", 2, L604="D", 1)</f>
        <v>1</v>
      </c>
    </row>
    <row r="606" spans="1:13" hidden="1" x14ac:dyDescent="0.2">
      <c r="A606">
        <v>2023</v>
      </c>
      <c r="B606">
        <v>80209</v>
      </c>
      <c r="C606" t="s">
        <v>77</v>
      </c>
      <c r="D606" t="s">
        <v>78</v>
      </c>
      <c r="E606" t="s">
        <v>15</v>
      </c>
      <c r="F606" t="s">
        <v>16</v>
      </c>
      <c r="G606">
        <v>27.1</v>
      </c>
      <c r="H606" s="1">
        <v>27061</v>
      </c>
      <c r="I606" t="s">
        <v>36</v>
      </c>
      <c r="J606">
        <v>80209</v>
      </c>
      <c r="K606" t="s">
        <v>36</v>
      </c>
      <c r="L606" s="3" t="s">
        <v>18</v>
      </c>
      <c r="M606" cm="1">
        <f t="array" ref="M606">_xlfn.IFS(L605="A", 4, L605="B", 3, L605="C", 2, L605="D", 1)</f>
        <v>4</v>
      </c>
    </row>
    <row r="607" spans="1:13" hidden="1" x14ac:dyDescent="0.2">
      <c r="A607">
        <v>2023</v>
      </c>
      <c r="B607">
        <v>80209</v>
      </c>
      <c r="C607" t="s">
        <v>77</v>
      </c>
      <c r="D607" t="s">
        <v>78</v>
      </c>
      <c r="E607" t="s">
        <v>15</v>
      </c>
      <c r="F607" t="s">
        <v>16</v>
      </c>
      <c r="G607">
        <v>27.1</v>
      </c>
      <c r="H607" s="1">
        <v>27061</v>
      </c>
      <c r="I607" t="s">
        <v>37</v>
      </c>
      <c r="J607">
        <v>80209</v>
      </c>
      <c r="K607" t="s">
        <v>37</v>
      </c>
      <c r="L607" s="3" t="s">
        <v>18</v>
      </c>
      <c r="M607" cm="1">
        <f t="array" ref="M607">_xlfn.IFS(L606="A", 4, L606="B", 3, L606="C", 2, L606="D", 1)</f>
        <v>4</v>
      </c>
    </row>
    <row r="608" spans="1:13" hidden="1" x14ac:dyDescent="0.2">
      <c r="A608">
        <v>2023</v>
      </c>
      <c r="B608">
        <v>80209</v>
      </c>
      <c r="C608" t="s">
        <v>13</v>
      </c>
      <c r="D608" t="s">
        <v>79</v>
      </c>
      <c r="E608" t="s">
        <v>15</v>
      </c>
      <c r="F608" t="s">
        <v>16</v>
      </c>
      <c r="G608">
        <v>20.100000000000001</v>
      </c>
      <c r="H608" s="1">
        <v>27061</v>
      </c>
      <c r="I608" t="s">
        <v>32</v>
      </c>
      <c r="J608">
        <v>80209</v>
      </c>
      <c r="K608" t="s">
        <v>32</v>
      </c>
      <c r="L608" s="3" t="s">
        <v>23</v>
      </c>
      <c r="M608" cm="1">
        <f t="array" ref="M608">_xlfn.IFS(L607="A", 4, L607="B", 3, L607="C", 2, L607="D", 1)</f>
        <v>4</v>
      </c>
    </row>
    <row r="609" spans="1:13" hidden="1" x14ac:dyDescent="0.2">
      <c r="A609">
        <v>2023</v>
      </c>
      <c r="B609">
        <v>80209</v>
      </c>
      <c r="C609" t="s">
        <v>13</v>
      </c>
      <c r="D609" t="s">
        <v>79</v>
      </c>
      <c r="E609" t="s">
        <v>15</v>
      </c>
      <c r="F609" t="s">
        <v>16</v>
      </c>
      <c r="G609">
        <v>20.100000000000001</v>
      </c>
      <c r="H609" s="1">
        <v>27061</v>
      </c>
      <c r="I609" t="s">
        <v>17</v>
      </c>
      <c r="J609">
        <v>80209</v>
      </c>
      <c r="K609" t="s">
        <v>17</v>
      </c>
      <c r="L609" s="3" t="s">
        <v>18</v>
      </c>
      <c r="M609" cm="1">
        <f t="array" ref="M609">_xlfn.IFS(L608="A", 4, L608="B", 3, L608="C", 2, L608="D", 1)</f>
        <v>1</v>
      </c>
    </row>
    <row r="610" spans="1:13" hidden="1" x14ac:dyDescent="0.2">
      <c r="A610">
        <v>2023</v>
      </c>
      <c r="B610">
        <v>80209</v>
      </c>
      <c r="C610" t="s">
        <v>13</v>
      </c>
      <c r="D610" t="s">
        <v>79</v>
      </c>
      <c r="E610" t="s">
        <v>15</v>
      </c>
      <c r="F610" t="s">
        <v>16</v>
      </c>
      <c r="G610">
        <v>20.100000000000001</v>
      </c>
      <c r="H610" s="1">
        <v>27061</v>
      </c>
      <c r="I610" t="s">
        <v>36</v>
      </c>
      <c r="J610">
        <v>80209</v>
      </c>
      <c r="K610" t="s">
        <v>36</v>
      </c>
      <c r="L610" s="3" t="s">
        <v>18</v>
      </c>
      <c r="M610" cm="1">
        <f t="array" ref="M610">_xlfn.IFS(L609="A", 4, L609="B", 3, L609="C", 2, L609="D", 1)</f>
        <v>4</v>
      </c>
    </row>
    <row r="611" spans="1:13" hidden="1" x14ac:dyDescent="0.2">
      <c r="A611">
        <v>2023</v>
      </c>
      <c r="B611">
        <v>80209</v>
      </c>
      <c r="C611" t="s">
        <v>13</v>
      </c>
      <c r="D611" t="s">
        <v>79</v>
      </c>
      <c r="E611" t="s">
        <v>15</v>
      </c>
      <c r="F611" t="s">
        <v>16</v>
      </c>
      <c r="G611">
        <v>20.100000000000001</v>
      </c>
      <c r="H611" s="1">
        <v>27061</v>
      </c>
      <c r="I611" t="s">
        <v>37</v>
      </c>
      <c r="J611">
        <v>80209</v>
      </c>
      <c r="K611" t="s">
        <v>37</v>
      </c>
      <c r="L611" s="3" t="s">
        <v>18</v>
      </c>
      <c r="M611" cm="1">
        <f t="array" ref="M611">_xlfn.IFS(L610="A", 4, L610="B", 3, L610="C", 2, L610="D", 1)</f>
        <v>4</v>
      </c>
    </row>
    <row r="612" spans="1:13" hidden="1" x14ac:dyDescent="0.2">
      <c r="A612">
        <v>2023</v>
      </c>
      <c r="B612">
        <v>80209</v>
      </c>
      <c r="C612" t="s">
        <v>74</v>
      </c>
      <c r="D612" t="s">
        <v>80</v>
      </c>
      <c r="E612" t="s">
        <v>15</v>
      </c>
      <c r="F612" t="s">
        <v>16</v>
      </c>
      <c r="G612">
        <v>67.400000000000006</v>
      </c>
      <c r="H612" s="1">
        <v>27061</v>
      </c>
      <c r="I612" t="s">
        <v>32</v>
      </c>
      <c r="J612">
        <v>80209</v>
      </c>
      <c r="K612" t="s">
        <v>32</v>
      </c>
      <c r="L612" s="3" t="s">
        <v>23</v>
      </c>
      <c r="M612" cm="1">
        <f t="array" ref="M612">_xlfn.IFS(L611="A", 4, L611="B", 3, L611="C", 2, L611="D", 1)</f>
        <v>4</v>
      </c>
    </row>
    <row r="613" spans="1:13" hidden="1" x14ac:dyDescent="0.2">
      <c r="A613">
        <v>2023</v>
      </c>
      <c r="B613">
        <v>80209</v>
      </c>
      <c r="C613" t="s">
        <v>74</v>
      </c>
      <c r="D613" t="s">
        <v>80</v>
      </c>
      <c r="E613" t="s">
        <v>15</v>
      </c>
      <c r="F613" t="s">
        <v>16</v>
      </c>
      <c r="G613">
        <v>67.400000000000006</v>
      </c>
      <c r="H613" s="1">
        <v>27061</v>
      </c>
      <c r="I613" t="s">
        <v>17</v>
      </c>
      <c r="J613">
        <v>80209</v>
      </c>
      <c r="K613" t="s">
        <v>17</v>
      </c>
      <c r="L613" s="3" t="s">
        <v>18</v>
      </c>
      <c r="M613" cm="1">
        <f t="array" ref="M613">_xlfn.IFS(L612="A", 4, L612="B", 3, L612="C", 2, L612="D", 1)</f>
        <v>1</v>
      </c>
    </row>
    <row r="614" spans="1:13" hidden="1" x14ac:dyDescent="0.2">
      <c r="A614">
        <v>2023</v>
      </c>
      <c r="B614">
        <v>80209</v>
      </c>
      <c r="C614" t="s">
        <v>74</v>
      </c>
      <c r="D614" t="s">
        <v>80</v>
      </c>
      <c r="E614" t="s">
        <v>15</v>
      </c>
      <c r="F614" t="s">
        <v>16</v>
      </c>
      <c r="G614">
        <v>67.400000000000006</v>
      </c>
      <c r="H614" s="1">
        <v>27061</v>
      </c>
      <c r="I614" t="s">
        <v>36</v>
      </c>
      <c r="J614">
        <v>80209</v>
      </c>
      <c r="K614" t="s">
        <v>36</v>
      </c>
      <c r="L614" s="3" t="s">
        <v>18</v>
      </c>
      <c r="M614" cm="1">
        <f t="array" ref="M614">_xlfn.IFS(L613="A", 4, L613="B", 3, L613="C", 2, L613="D", 1)</f>
        <v>4</v>
      </c>
    </row>
    <row r="615" spans="1:13" hidden="1" x14ac:dyDescent="0.2">
      <c r="A615">
        <v>2023</v>
      </c>
      <c r="B615">
        <v>80209</v>
      </c>
      <c r="C615" t="s">
        <v>74</v>
      </c>
      <c r="D615" t="s">
        <v>80</v>
      </c>
      <c r="E615" t="s">
        <v>15</v>
      </c>
      <c r="F615" t="s">
        <v>16</v>
      </c>
      <c r="G615">
        <v>67.400000000000006</v>
      </c>
      <c r="H615" s="1">
        <v>27061</v>
      </c>
      <c r="I615" t="s">
        <v>37</v>
      </c>
      <c r="J615">
        <v>80209</v>
      </c>
      <c r="K615" t="s">
        <v>37</v>
      </c>
      <c r="L615" s="3" t="s">
        <v>18</v>
      </c>
      <c r="M615" cm="1">
        <f t="array" ref="M615">_xlfn.IFS(L614="A", 4, L614="B", 3, L614="C", 2, L614="D", 1)</f>
        <v>4</v>
      </c>
    </row>
    <row r="616" spans="1:13" hidden="1" x14ac:dyDescent="0.2">
      <c r="A616">
        <v>2023</v>
      </c>
      <c r="B616">
        <v>80209</v>
      </c>
      <c r="C616" t="s">
        <v>13</v>
      </c>
      <c r="D616" t="s">
        <v>81</v>
      </c>
      <c r="E616" t="s">
        <v>15</v>
      </c>
      <c r="F616" t="s">
        <v>16</v>
      </c>
      <c r="G616">
        <v>8</v>
      </c>
      <c r="H616" s="1">
        <v>27061</v>
      </c>
      <c r="I616" t="s">
        <v>32</v>
      </c>
      <c r="J616">
        <v>80209</v>
      </c>
      <c r="K616" t="s">
        <v>32</v>
      </c>
      <c r="L616" s="3" t="s">
        <v>23</v>
      </c>
      <c r="M616" cm="1">
        <f t="array" ref="M616">_xlfn.IFS(L615="A", 4, L615="B", 3, L615="C", 2, L615="D", 1)</f>
        <v>4</v>
      </c>
    </row>
    <row r="617" spans="1:13" hidden="1" x14ac:dyDescent="0.2">
      <c r="A617">
        <v>2023</v>
      </c>
      <c r="B617">
        <v>80209</v>
      </c>
      <c r="C617" t="s">
        <v>13</v>
      </c>
      <c r="D617" t="s">
        <v>81</v>
      </c>
      <c r="E617" t="s">
        <v>15</v>
      </c>
      <c r="F617" t="s">
        <v>16</v>
      </c>
      <c r="G617">
        <v>8</v>
      </c>
      <c r="H617" s="1">
        <v>27061</v>
      </c>
      <c r="I617" t="s">
        <v>17</v>
      </c>
      <c r="J617">
        <v>80209</v>
      </c>
      <c r="K617" t="s">
        <v>17</v>
      </c>
      <c r="L617" s="3" t="s">
        <v>18</v>
      </c>
      <c r="M617" cm="1">
        <f t="array" ref="M617">_xlfn.IFS(L616="A", 4, L616="B", 3, L616="C", 2, L616="D", 1)</f>
        <v>1</v>
      </c>
    </row>
    <row r="618" spans="1:13" hidden="1" x14ac:dyDescent="0.2">
      <c r="A618">
        <v>2023</v>
      </c>
      <c r="B618">
        <v>80209</v>
      </c>
      <c r="C618" t="s">
        <v>13</v>
      </c>
      <c r="D618" t="s">
        <v>81</v>
      </c>
      <c r="E618" t="s">
        <v>15</v>
      </c>
      <c r="F618" t="s">
        <v>16</v>
      </c>
      <c r="G618">
        <v>8</v>
      </c>
      <c r="H618" s="1">
        <v>27061</v>
      </c>
      <c r="I618" t="s">
        <v>36</v>
      </c>
      <c r="J618">
        <v>80209</v>
      </c>
      <c r="K618" t="s">
        <v>36</v>
      </c>
      <c r="L618" s="3" t="s">
        <v>18</v>
      </c>
      <c r="M618" cm="1">
        <f t="array" ref="M618">_xlfn.IFS(L617="A", 4, L617="B", 3, L617="C", 2, L617="D", 1)</f>
        <v>4</v>
      </c>
    </row>
    <row r="619" spans="1:13" hidden="1" x14ac:dyDescent="0.2">
      <c r="A619">
        <v>2023</v>
      </c>
      <c r="B619">
        <v>80209</v>
      </c>
      <c r="C619" t="s">
        <v>13</v>
      </c>
      <c r="D619" t="s">
        <v>81</v>
      </c>
      <c r="E619" t="s">
        <v>15</v>
      </c>
      <c r="F619" t="s">
        <v>16</v>
      </c>
      <c r="G619">
        <v>8</v>
      </c>
      <c r="H619" s="1">
        <v>27061</v>
      </c>
      <c r="I619" t="s">
        <v>37</v>
      </c>
      <c r="J619">
        <v>80209</v>
      </c>
      <c r="K619" t="s">
        <v>37</v>
      </c>
      <c r="L619" s="3" t="s">
        <v>18</v>
      </c>
      <c r="M619" cm="1">
        <f t="array" ref="M619">_xlfn.IFS(L618="A", 4, L618="B", 3, L618="C", 2, L618="D", 1)</f>
        <v>4</v>
      </c>
    </row>
    <row r="620" spans="1:13" hidden="1" x14ac:dyDescent="0.2">
      <c r="A620">
        <v>2023</v>
      </c>
      <c r="B620">
        <v>80209</v>
      </c>
      <c r="C620" t="s">
        <v>13</v>
      </c>
      <c r="D620" t="s">
        <v>82</v>
      </c>
      <c r="E620" t="s">
        <v>15</v>
      </c>
      <c r="F620" t="s">
        <v>16</v>
      </c>
      <c r="G620">
        <v>10</v>
      </c>
      <c r="H620" s="1">
        <v>27061</v>
      </c>
      <c r="I620" t="s">
        <v>32</v>
      </c>
      <c r="J620">
        <v>80209</v>
      </c>
      <c r="K620" t="s">
        <v>32</v>
      </c>
      <c r="L620" s="3" t="s">
        <v>23</v>
      </c>
      <c r="M620" cm="1">
        <f t="array" ref="M620">_xlfn.IFS(L619="A", 4, L619="B", 3, L619="C", 2, L619="D", 1)</f>
        <v>4</v>
      </c>
    </row>
    <row r="621" spans="1:13" hidden="1" x14ac:dyDescent="0.2">
      <c r="A621">
        <v>2023</v>
      </c>
      <c r="B621">
        <v>80209</v>
      </c>
      <c r="C621" t="s">
        <v>13</v>
      </c>
      <c r="D621" t="s">
        <v>82</v>
      </c>
      <c r="E621" t="s">
        <v>15</v>
      </c>
      <c r="F621" t="s">
        <v>16</v>
      </c>
      <c r="G621">
        <v>10</v>
      </c>
      <c r="H621" s="1">
        <v>27061</v>
      </c>
      <c r="I621" t="s">
        <v>17</v>
      </c>
      <c r="J621">
        <v>80209</v>
      </c>
      <c r="K621" t="s">
        <v>17</v>
      </c>
      <c r="L621" s="3" t="s">
        <v>18</v>
      </c>
      <c r="M621" cm="1">
        <f t="array" ref="M621">_xlfn.IFS(L620="A", 4, L620="B", 3, L620="C", 2, L620="D", 1)</f>
        <v>1</v>
      </c>
    </row>
    <row r="622" spans="1:13" hidden="1" x14ac:dyDescent="0.2">
      <c r="A622">
        <v>2023</v>
      </c>
      <c r="B622">
        <v>80209</v>
      </c>
      <c r="C622" t="s">
        <v>13</v>
      </c>
      <c r="D622" t="s">
        <v>82</v>
      </c>
      <c r="E622" t="s">
        <v>15</v>
      </c>
      <c r="F622" t="s">
        <v>16</v>
      </c>
      <c r="G622">
        <v>10</v>
      </c>
      <c r="H622" s="1">
        <v>27061</v>
      </c>
      <c r="I622" t="s">
        <v>36</v>
      </c>
      <c r="J622">
        <v>80209</v>
      </c>
      <c r="K622" t="s">
        <v>36</v>
      </c>
      <c r="L622" s="3" t="s">
        <v>18</v>
      </c>
      <c r="M622" cm="1">
        <f t="array" ref="M622">_xlfn.IFS(L621="A", 4, L621="B", 3, L621="C", 2, L621="D", 1)</f>
        <v>4</v>
      </c>
    </row>
    <row r="623" spans="1:13" hidden="1" x14ac:dyDescent="0.2">
      <c r="A623">
        <v>2023</v>
      </c>
      <c r="B623">
        <v>80209</v>
      </c>
      <c r="C623" t="s">
        <v>13</v>
      </c>
      <c r="D623" t="s">
        <v>82</v>
      </c>
      <c r="E623" t="s">
        <v>15</v>
      </c>
      <c r="F623" t="s">
        <v>16</v>
      </c>
      <c r="G623">
        <v>10</v>
      </c>
      <c r="H623" s="1">
        <v>27061</v>
      </c>
      <c r="I623" t="s">
        <v>37</v>
      </c>
      <c r="J623">
        <v>80209</v>
      </c>
      <c r="K623" t="s">
        <v>37</v>
      </c>
      <c r="L623" s="3" t="s">
        <v>18</v>
      </c>
      <c r="M623" cm="1">
        <f t="array" ref="M623">_xlfn.IFS(L622="A", 4, L622="B", 3, L622="C", 2, L622="D", 1)</f>
        <v>4</v>
      </c>
    </row>
    <row r="624" spans="1:13" hidden="1" x14ac:dyDescent="0.2">
      <c r="A624">
        <v>2023</v>
      </c>
      <c r="B624">
        <v>80209</v>
      </c>
      <c r="C624" t="s">
        <v>13</v>
      </c>
      <c r="D624" t="s">
        <v>83</v>
      </c>
      <c r="E624" t="s">
        <v>15</v>
      </c>
      <c r="F624" t="s">
        <v>16</v>
      </c>
      <c r="G624">
        <v>3.8</v>
      </c>
      <c r="H624" s="1">
        <v>27061</v>
      </c>
      <c r="I624" t="s">
        <v>32</v>
      </c>
      <c r="J624">
        <v>80209</v>
      </c>
      <c r="K624" t="s">
        <v>32</v>
      </c>
      <c r="L624" s="3" t="s">
        <v>23</v>
      </c>
      <c r="M624" cm="1">
        <f t="array" ref="M624">_xlfn.IFS(L623="A", 4, L623="B", 3, L623="C", 2, L623="D", 1)</f>
        <v>4</v>
      </c>
    </row>
    <row r="625" spans="1:13" hidden="1" x14ac:dyDescent="0.2">
      <c r="A625">
        <v>2023</v>
      </c>
      <c r="B625">
        <v>80209</v>
      </c>
      <c r="C625" t="s">
        <v>13</v>
      </c>
      <c r="D625" t="s">
        <v>83</v>
      </c>
      <c r="E625" t="s">
        <v>15</v>
      </c>
      <c r="F625" t="s">
        <v>16</v>
      </c>
      <c r="G625">
        <v>3.8</v>
      </c>
      <c r="H625" s="1">
        <v>27061</v>
      </c>
      <c r="I625" t="s">
        <v>17</v>
      </c>
      <c r="J625">
        <v>80209</v>
      </c>
      <c r="K625" t="s">
        <v>17</v>
      </c>
      <c r="L625" s="3" t="s">
        <v>18</v>
      </c>
      <c r="M625" cm="1">
        <f t="array" ref="M625">_xlfn.IFS(L624="A", 4, L624="B", 3, L624="C", 2, L624="D", 1)</f>
        <v>1</v>
      </c>
    </row>
    <row r="626" spans="1:13" hidden="1" x14ac:dyDescent="0.2">
      <c r="A626">
        <v>2023</v>
      </c>
      <c r="B626">
        <v>80209</v>
      </c>
      <c r="C626" t="s">
        <v>13</v>
      </c>
      <c r="D626" t="s">
        <v>83</v>
      </c>
      <c r="E626" t="s">
        <v>15</v>
      </c>
      <c r="F626" t="s">
        <v>16</v>
      </c>
      <c r="G626">
        <v>3.8</v>
      </c>
      <c r="H626" s="1">
        <v>27061</v>
      </c>
      <c r="I626" t="s">
        <v>36</v>
      </c>
      <c r="J626">
        <v>80209</v>
      </c>
      <c r="K626" t="s">
        <v>36</v>
      </c>
      <c r="L626" s="3" t="s">
        <v>18</v>
      </c>
      <c r="M626" cm="1">
        <f t="array" ref="M626">_xlfn.IFS(L625="A", 4, L625="B", 3, L625="C", 2, L625="D", 1)</f>
        <v>4</v>
      </c>
    </row>
    <row r="627" spans="1:13" hidden="1" x14ac:dyDescent="0.2">
      <c r="A627">
        <v>2023</v>
      </c>
      <c r="B627">
        <v>80209</v>
      </c>
      <c r="C627" t="s">
        <v>13</v>
      </c>
      <c r="D627" t="s">
        <v>83</v>
      </c>
      <c r="E627" t="s">
        <v>15</v>
      </c>
      <c r="F627" t="s">
        <v>16</v>
      </c>
      <c r="G627">
        <v>3.8</v>
      </c>
      <c r="H627" s="1">
        <v>27061</v>
      </c>
      <c r="I627" t="s">
        <v>37</v>
      </c>
      <c r="J627">
        <v>80209</v>
      </c>
      <c r="K627" t="s">
        <v>37</v>
      </c>
      <c r="L627" s="3" t="s">
        <v>18</v>
      </c>
      <c r="M627" cm="1">
        <f t="array" ref="M627">_xlfn.IFS(L626="A", 4, L626="B", 3, L626="C", 2, L626="D", 1)</f>
        <v>4</v>
      </c>
    </row>
    <row r="628" spans="1:13" x14ac:dyDescent="0.2">
      <c r="A628">
        <v>2023</v>
      </c>
      <c r="B628">
        <v>80209</v>
      </c>
      <c r="C628" t="s">
        <v>74</v>
      </c>
      <c r="D628" t="s">
        <v>84</v>
      </c>
      <c r="E628" t="s">
        <v>15</v>
      </c>
      <c r="F628" t="s">
        <v>16</v>
      </c>
      <c r="G628">
        <v>71.5</v>
      </c>
      <c r="H628" s="1">
        <v>27061</v>
      </c>
      <c r="I628" t="s">
        <v>32</v>
      </c>
      <c r="J628">
        <v>80209</v>
      </c>
      <c r="K628" t="s">
        <v>32</v>
      </c>
      <c r="L628" s="3" t="s">
        <v>23</v>
      </c>
      <c r="M628" cm="1">
        <f t="array" ref="M628">_xlfn.IFS(L627="A", 4, L627="B", 3, L627="C", 2, L627="D", 1)</f>
        <v>4</v>
      </c>
    </row>
    <row r="629" spans="1:13" x14ac:dyDescent="0.2">
      <c r="A629">
        <v>2023</v>
      </c>
      <c r="B629">
        <v>80209</v>
      </c>
      <c r="C629" t="s">
        <v>74</v>
      </c>
      <c r="D629" t="s">
        <v>84</v>
      </c>
      <c r="E629" t="s">
        <v>15</v>
      </c>
      <c r="F629" t="s">
        <v>16</v>
      </c>
      <c r="G629">
        <v>71.5</v>
      </c>
      <c r="H629" s="1">
        <v>27061</v>
      </c>
      <c r="I629" t="s">
        <v>17</v>
      </c>
      <c r="J629">
        <v>80209</v>
      </c>
      <c r="K629" t="s">
        <v>17</v>
      </c>
      <c r="L629" s="3" t="s">
        <v>18</v>
      </c>
      <c r="M629" cm="1">
        <f t="array" ref="M629">_xlfn.IFS(L628="A", 4, L628="B", 3, L628="C", 2, L628="D", 1)</f>
        <v>1</v>
      </c>
    </row>
    <row r="630" spans="1:13" x14ac:dyDescent="0.2">
      <c r="A630">
        <v>2023</v>
      </c>
      <c r="B630">
        <v>80209</v>
      </c>
      <c r="C630" t="s">
        <v>74</v>
      </c>
      <c r="D630" t="s">
        <v>84</v>
      </c>
      <c r="E630" t="s">
        <v>15</v>
      </c>
      <c r="F630" t="s">
        <v>16</v>
      </c>
      <c r="G630">
        <v>71.5</v>
      </c>
      <c r="H630" s="1">
        <v>27061</v>
      </c>
      <c r="I630" t="s">
        <v>36</v>
      </c>
      <c r="J630">
        <v>80209</v>
      </c>
      <c r="K630" t="s">
        <v>36</v>
      </c>
      <c r="L630" s="3" t="s">
        <v>18</v>
      </c>
      <c r="M630" cm="1">
        <f t="array" ref="M630">_xlfn.IFS(L629="A", 4, L629="B", 3, L629="C", 2, L629="D", 1)</f>
        <v>4</v>
      </c>
    </row>
    <row r="631" spans="1:13" x14ac:dyDescent="0.2">
      <c r="A631">
        <v>2023</v>
      </c>
      <c r="B631">
        <v>80209</v>
      </c>
      <c r="C631" t="s">
        <v>74</v>
      </c>
      <c r="D631" t="s">
        <v>84</v>
      </c>
      <c r="E631" t="s">
        <v>15</v>
      </c>
      <c r="F631" t="s">
        <v>16</v>
      </c>
      <c r="G631">
        <v>71.5</v>
      </c>
      <c r="H631" s="1">
        <v>27061</v>
      </c>
      <c r="I631" t="s">
        <v>37</v>
      </c>
      <c r="J631">
        <v>80209</v>
      </c>
      <c r="K631" t="s">
        <v>37</v>
      </c>
      <c r="L631" s="3" t="s">
        <v>18</v>
      </c>
      <c r="M631" cm="1">
        <f t="array" ref="M631">_xlfn.IFS(L630="A", 4, L630="B", 3, L630="C", 2, L630="D", 1)</f>
        <v>4</v>
      </c>
    </row>
    <row r="632" spans="1:13" hidden="1" x14ac:dyDescent="0.2">
      <c r="A632">
        <v>2023</v>
      </c>
      <c r="B632">
        <v>80209</v>
      </c>
      <c r="C632" t="s">
        <v>74</v>
      </c>
      <c r="D632" t="s">
        <v>85</v>
      </c>
      <c r="E632" t="s">
        <v>15</v>
      </c>
      <c r="F632" t="s">
        <v>16</v>
      </c>
      <c r="G632">
        <v>87.5</v>
      </c>
      <c r="H632" s="1">
        <v>27061</v>
      </c>
      <c r="I632" t="s">
        <v>32</v>
      </c>
      <c r="J632">
        <v>80209</v>
      </c>
      <c r="K632" t="s">
        <v>32</v>
      </c>
      <c r="L632" s="3" t="s">
        <v>23</v>
      </c>
      <c r="M632" cm="1">
        <f t="array" ref="M632">_xlfn.IFS(L631="A", 4, L631="B", 3, L631="C", 2, L631="D", 1)</f>
        <v>4</v>
      </c>
    </row>
    <row r="633" spans="1:13" hidden="1" x14ac:dyDescent="0.2">
      <c r="A633">
        <v>2023</v>
      </c>
      <c r="B633">
        <v>80209</v>
      </c>
      <c r="C633" t="s">
        <v>74</v>
      </c>
      <c r="D633" t="s">
        <v>85</v>
      </c>
      <c r="E633" t="s">
        <v>15</v>
      </c>
      <c r="F633" t="s">
        <v>16</v>
      </c>
      <c r="G633">
        <v>87.5</v>
      </c>
      <c r="H633" s="1">
        <v>27061</v>
      </c>
      <c r="I633" t="s">
        <v>17</v>
      </c>
      <c r="J633">
        <v>80209</v>
      </c>
      <c r="K633" t="s">
        <v>17</v>
      </c>
      <c r="L633" s="3" t="s">
        <v>18</v>
      </c>
      <c r="M633" cm="1">
        <f t="array" ref="M633">_xlfn.IFS(L632="A", 4, L632="B", 3, L632="C", 2, L632="D", 1)</f>
        <v>1</v>
      </c>
    </row>
    <row r="634" spans="1:13" hidden="1" x14ac:dyDescent="0.2">
      <c r="A634">
        <v>2023</v>
      </c>
      <c r="B634">
        <v>80209</v>
      </c>
      <c r="C634" t="s">
        <v>74</v>
      </c>
      <c r="D634" t="s">
        <v>85</v>
      </c>
      <c r="E634" t="s">
        <v>15</v>
      </c>
      <c r="F634" t="s">
        <v>16</v>
      </c>
      <c r="G634">
        <v>87.5</v>
      </c>
      <c r="H634" s="1">
        <v>27061</v>
      </c>
      <c r="I634" t="s">
        <v>36</v>
      </c>
      <c r="J634">
        <v>80209</v>
      </c>
      <c r="K634" t="s">
        <v>36</v>
      </c>
      <c r="L634" s="3" t="s">
        <v>18</v>
      </c>
      <c r="M634" cm="1">
        <f t="array" ref="M634">_xlfn.IFS(L633="A", 4, L633="B", 3, L633="C", 2, L633="D", 1)</f>
        <v>4</v>
      </c>
    </row>
    <row r="635" spans="1:13" hidden="1" x14ac:dyDescent="0.2">
      <c r="A635">
        <v>2023</v>
      </c>
      <c r="B635">
        <v>80209</v>
      </c>
      <c r="C635" t="s">
        <v>74</v>
      </c>
      <c r="D635" t="s">
        <v>85</v>
      </c>
      <c r="E635" t="s">
        <v>15</v>
      </c>
      <c r="F635" t="s">
        <v>16</v>
      </c>
      <c r="G635">
        <v>87.5</v>
      </c>
      <c r="H635" s="1">
        <v>27061</v>
      </c>
      <c r="I635" t="s">
        <v>37</v>
      </c>
      <c r="J635">
        <v>80209</v>
      </c>
      <c r="K635" t="s">
        <v>37</v>
      </c>
      <c r="L635" s="3" t="s">
        <v>18</v>
      </c>
      <c r="M635" cm="1">
        <f t="array" ref="M635">_xlfn.IFS(L634="A", 4, L634="B", 3, L634="C", 2, L634="D", 1)</f>
        <v>4</v>
      </c>
    </row>
    <row r="636" spans="1:13" hidden="1" x14ac:dyDescent="0.2">
      <c r="A636">
        <v>2023</v>
      </c>
      <c r="B636">
        <v>80209</v>
      </c>
      <c r="C636" t="s">
        <v>86</v>
      </c>
      <c r="D636" t="s">
        <v>87</v>
      </c>
      <c r="E636" t="s">
        <v>15</v>
      </c>
      <c r="F636" t="s">
        <v>16</v>
      </c>
      <c r="G636">
        <v>9.8000000000000007</v>
      </c>
      <c r="H636" s="1">
        <v>27061</v>
      </c>
      <c r="I636" t="s">
        <v>32</v>
      </c>
      <c r="J636">
        <v>80209</v>
      </c>
      <c r="K636" t="s">
        <v>32</v>
      </c>
      <c r="L636" s="3" t="s">
        <v>23</v>
      </c>
      <c r="M636" cm="1">
        <f t="array" ref="M636">_xlfn.IFS(L635="A", 4, L635="B", 3, L635="C", 2, L635="D", 1)</f>
        <v>4</v>
      </c>
    </row>
    <row r="637" spans="1:13" hidden="1" x14ac:dyDescent="0.2">
      <c r="A637">
        <v>2023</v>
      </c>
      <c r="B637">
        <v>80209</v>
      </c>
      <c r="C637" t="s">
        <v>86</v>
      </c>
      <c r="D637" t="s">
        <v>87</v>
      </c>
      <c r="E637" t="s">
        <v>15</v>
      </c>
      <c r="F637" t="s">
        <v>16</v>
      </c>
      <c r="G637">
        <v>9.8000000000000007</v>
      </c>
      <c r="H637" s="1">
        <v>27061</v>
      </c>
      <c r="I637" t="s">
        <v>17</v>
      </c>
      <c r="J637">
        <v>80209</v>
      </c>
      <c r="K637" t="s">
        <v>17</v>
      </c>
      <c r="L637" s="3" t="s">
        <v>18</v>
      </c>
      <c r="M637" cm="1">
        <f t="array" ref="M637">_xlfn.IFS(L636="A", 4, L636="B", 3, L636="C", 2, L636="D", 1)</f>
        <v>1</v>
      </c>
    </row>
    <row r="638" spans="1:13" hidden="1" x14ac:dyDescent="0.2">
      <c r="A638">
        <v>2023</v>
      </c>
      <c r="B638">
        <v>80209</v>
      </c>
      <c r="C638" t="s">
        <v>86</v>
      </c>
      <c r="D638" t="s">
        <v>87</v>
      </c>
      <c r="E638" t="s">
        <v>15</v>
      </c>
      <c r="F638" t="s">
        <v>16</v>
      </c>
      <c r="G638">
        <v>9.8000000000000007</v>
      </c>
      <c r="H638" s="1">
        <v>27061</v>
      </c>
      <c r="I638" t="s">
        <v>36</v>
      </c>
      <c r="J638">
        <v>80209</v>
      </c>
      <c r="K638" t="s">
        <v>36</v>
      </c>
      <c r="L638" s="3" t="s">
        <v>18</v>
      </c>
      <c r="M638" cm="1">
        <f t="array" ref="M638">_xlfn.IFS(L637="A", 4, L637="B", 3, L637="C", 2, L637="D", 1)</f>
        <v>4</v>
      </c>
    </row>
    <row r="639" spans="1:13" hidden="1" x14ac:dyDescent="0.2">
      <c r="A639">
        <v>2023</v>
      </c>
      <c r="B639">
        <v>80209</v>
      </c>
      <c r="C639" t="s">
        <v>86</v>
      </c>
      <c r="D639" t="s">
        <v>87</v>
      </c>
      <c r="E639" t="s">
        <v>15</v>
      </c>
      <c r="F639" t="s">
        <v>16</v>
      </c>
      <c r="G639">
        <v>9.8000000000000007</v>
      </c>
      <c r="H639" s="1">
        <v>27061</v>
      </c>
      <c r="I639" t="s">
        <v>37</v>
      </c>
      <c r="J639">
        <v>80209</v>
      </c>
      <c r="K639" t="s">
        <v>37</v>
      </c>
      <c r="L639" s="3" t="s">
        <v>18</v>
      </c>
      <c r="M639" cm="1">
        <f t="array" ref="M639">_xlfn.IFS(L638="A", 4, L638="B", 3, L638="C", 2, L638="D", 1)</f>
        <v>4</v>
      </c>
    </row>
    <row r="640" spans="1:13" hidden="1" x14ac:dyDescent="0.2">
      <c r="A640">
        <v>2022</v>
      </c>
      <c r="B640">
        <v>80209</v>
      </c>
      <c r="C640" t="s">
        <v>74</v>
      </c>
      <c r="D640" t="s">
        <v>88</v>
      </c>
      <c r="E640" t="s">
        <v>15</v>
      </c>
      <c r="F640" t="s">
        <v>16</v>
      </c>
      <c r="G640">
        <v>70.400000000000006</v>
      </c>
      <c r="H640" s="1">
        <v>27061</v>
      </c>
      <c r="I640" t="s">
        <v>32</v>
      </c>
      <c r="J640">
        <v>80209</v>
      </c>
      <c r="K640" t="s">
        <v>32</v>
      </c>
      <c r="L640" s="3" t="s">
        <v>23</v>
      </c>
      <c r="M640" cm="1">
        <f t="array" ref="M640">_xlfn.IFS(L639="A", 4, L639="B", 3, L639="C", 2, L639="D", 1)</f>
        <v>4</v>
      </c>
    </row>
    <row r="641" spans="1:13" hidden="1" x14ac:dyDescent="0.2">
      <c r="A641">
        <v>2022</v>
      </c>
      <c r="B641">
        <v>80209</v>
      </c>
      <c r="C641" t="s">
        <v>74</v>
      </c>
      <c r="D641" t="s">
        <v>88</v>
      </c>
      <c r="E641" t="s">
        <v>15</v>
      </c>
      <c r="F641" t="s">
        <v>16</v>
      </c>
      <c r="G641">
        <v>70.400000000000006</v>
      </c>
      <c r="H641" s="1">
        <v>27061</v>
      </c>
      <c r="I641" t="s">
        <v>17</v>
      </c>
      <c r="J641">
        <v>80209</v>
      </c>
      <c r="K641" t="s">
        <v>17</v>
      </c>
      <c r="L641" s="3" t="s">
        <v>18</v>
      </c>
      <c r="M641" cm="1">
        <f t="array" ref="M641">_xlfn.IFS(L640="A", 4, L640="B", 3, L640="C", 2, L640="D", 1)</f>
        <v>1</v>
      </c>
    </row>
    <row r="642" spans="1:13" hidden="1" x14ac:dyDescent="0.2">
      <c r="A642">
        <v>2022</v>
      </c>
      <c r="B642">
        <v>80209</v>
      </c>
      <c r="C642" t="s">
        <v>74</v>
      </c>
      <c r="D642" t="s">
        <v>88</v>
      </c>
      <c r="E642" t="s">
        <v>15</v>
      </c>
      <c r="F642" t="s">
        <v>16</v>
      </c>
      <c r="G642">
        <v>70.400000000000006</v>
      </c>
      <c r="H642" s="1">
        <v>27061</v>
      </c>
      <c r="I642" t="s">
        <v>36</v>
      </c>
      <c r="J642">
        <v>80209</v>
      </c>
      <c r="K642" t="s">
        <v>36</v>
      </c>
      <c r="L642" s="3" t="s">
        <v>18</v>
      </c>
      <c r="M642" cm="1">
        <f t="array" ref="M642">_xlfn.IFS(L641="A", 4, L641="B", 3, L641="C", 2, L641="D", 1)</f>
        <v>4</v>
      </c>
    </row>
    <row r="643" spans="1:13" hidden="1" x14ac:dyDescent="0.2">
      <c r="A643">
        <v>2022</v>
      </c>
      <c r="B643">
        <v>80209</v>
      </c>
      <c r="C643" t="s">
        <v>74</v>
      </c>
      <c r="D643" t="s">
        <v>88</v>
      </c>
      <c r="E643" t="s">
        <v>15</v>
      </c>
      <c r="F643" t="s">
        <v>16</v>
      </c>
      <c r="G643">
        <v>70.400000000000006</v>
      </c>
      <c r="H643" s="1">
        <v>27061</v>
      </c>
      <c r="I643" t="s">
        <v>37</v>
      </c>
      <c r="J643">
        <v>80209</v>
      </c>
      <c r="K643" t="s">
        <v>37</v>
      </c>
      <c r="L643" s="3" t="s">
        <v>18</v>
      </c>
      <c r="M643" cm="1">
        <f t="array" ref="M643">_xlfn.IFS(L642="A", 4, L642="B", 3, L642="C", 2, L642="D", 1)</f>
        <v>4</v>
      </c>
    </row>
    <row r="644" spans="1:13" hidden="1" x14ac:dyDescent="0.2">
      <c r="A644">
        <v>2023</v>
      </c>
      <c r="B644">
        <v>80209</v>
      </c>
      <c r="C644" t="s">
        <v>13</v>
      </c>
      <c r="D644" t="s">
        <v>89</v>
      </c>
      <c r="E644" t="s">
        <v>15</v>
      </c>
      <c r="F644" t="s">
        <v>16</v>
      </c>
      <c r="G644">
        <v>3.3</v>
      </c>
      <c r="H644" s="1">
        <v>27061</v>
      </c>
      <c r="I644" t="s">
        <v>32</v>
      </c>
      <c r="J644">
        <v>80209</v>
      </c>
      <c r="K644" t="s">
        <v>32</v>
      </c>
      <c r="L644" s="3" t="s">
        <v>23</v>
      </c>
      <c r="M644" cm="1">
        <f t="array" ref="M644">_xlfn.IFS(L643="A", 4, L643="B", 3, L643="C", 2, L643="D", 1)</f>
        <v>4</v>
      </c>
    </row>
    <row r="645" spans="1:13" hidden="1" x14ac:dyDescent="0.2">
      <c r="A645">
        <v>2023</v>
      </c>
      <c r="B645">
        <v>80209</v>
      </c>
      <c r="C645" t="s">
        <v>13</v>
      </c>
      <c r="D645" t="s">
        <v>89</v>
      </c>
      <c r="E645" t="s">
        <v>15</v>
      </c>
      <c r="F645" t="s">
        <v>16</v>
      </c>
      <c r="G645">
        <v>3.3</v>
      </c>
      <c r="H645" s="1">
        <v>27061</v>
      </c>
      <c r="I645" t="s">
        <v>17</v>
      </c>
      <c r="J645">
        <v>80209</v>
      </c>
      <c r="K645" t="s">
        <v>17</v>
      </c>
      <c r="L645" s="3" t="s">
        <v>18</v>
      </c>
      <c r="M645" cm="1">
        <f t="array" ref="M645">_xlfn.IFS(L644="A", 4, L644="B", 3, L644="C", 2, L644="D", 1)</f>
        <v>1</v>
      </c>
    </row>
    <row r="646" spans="1:13" hidden="1" x14ac:dyDescent="0.2">
      <c r="A646">
        <v>2023</v>
      </c>
      <c r="B646">
        <v>80209</v>
      </c>
      <c r="C646" t="s">
        <v>13</v>
      </c>
      <c r="D646" t="s">
        <v>89</v>
      </c>
      <c r="E646" t="s">
        <v>15</v>
      </c>
      <c r="F646" t="s">
        <v>16</v>
      </c>
      <c r="G646">
        <v>3.3</v>
      </c>
      <c r="H646" s="1">
        <v>27061</v>
      </c>
      <c r="I646" t="s">
        <v>36</v>
      </c>
      <c r="J646">
        <v>80209</v>
      </c>
      <c r="K646" t="s">
        <v>36</v>
      </c>
      <c r="L646" s="3" t="s">
        <v>18</v>
      </c>
      <c r="M646" cm="1">
        <f t="array" ref="M646">_xlfn.IFS(L645="A", 4, L645="B", 3, L645="C", 2, L645="D", 1)</f>
        <v>4</v>
      </c>
    </row>
    <row r="647" spans="1:13" hidden="1" x14ac:dyDescent="0.2">
      <c r="A647">
        <v>2023</v>
      </c>
      <c r="B647">
        <v>80209</v>
      </c>
      <c r="C647" t="s">
        <v>13</v>
      </c>
      <c r="D647" t="s">
        <v>89</v>
      </c>
      <c r="E647" t="s">
        <v>15</v>
      </c>
      <c r="F647" t="s">
        <v>16</v>
      </c>
      <c r="G647">
        <v>3.3</v>
      </c>
      <c r="H647" s="1">
        <v>27061</v>
      </c>
      <c r="I647" t="s">
        <v>37</v>
      </c>
      <c r="J647">
        <v>80209</v>
      </c>
      <c r="K647" t="s">
        <v>37</v>
      </c>
      <c r="L647" s="3" t="s">
        <v>18</v>
      </c>
      <c r="M647" cm="1">
        <f t="array" ref="M647">_xlfn.IFS(L646="A", 4, L646="B", 3, L646="C", 2, L646="D", 1)</f>
        <v>4</v>
      </c>
    </row>
    <row r="648" spans="1:13" hidden="1" x14ac:dyDescent="0.2">
      <c r="A648">
        <v>2023</v>
      </c>
      <c r="B648">
        <v>80209</v>
      </c>
      <c r="C648" t="s">
        <v>77</v>
      </c>
      <c r="D648" t="s">
        <v>90</v>
      </c>
      <c r="E648" t="s">
        <v>15</v>
      </c>
      <c r="F648" t="s">
        <v>16</v>
      </c>
      <c r="G648">
        <v>6.6</v>
      </c>
      <c r="H648" s="1">
        <v>27061</v>
      </c>
      <c r="I648" t="s">
        <v>32</v>
      </c>
      <c r="J648">
        <v>80209</v>
      </c>
      <c r="K648" t="s">
        <v>32</v>
      </c>
      <c r="L648" s="3" t="s">
        <v>23</v>
      </c>
      <c r="M648" cm="1">
        <f t="array" ref="M648">_xlfn.IFS(L647="A", 4, L647="B", 3, L647="C", 2, L647="D", 1)</f>
        <v>4</v>
      </c>
    </row>
    <row r="649" spans="1:13" hidden="1" x14ac:dyDescent="0.2">
      <c r="A649">
        <v>2023</v>
      </c>
      <c r="B649">
        <v>80209</v>
      </c>
      <c r="C649" t="s">
        <v>77</v>
      </c>
      <c r="D649" t="s">
        <v>90</v>
      </c>
      <c r="E649" t="s">
        <v>15</v>
      </c>
      <c r="F649" t="s">
        <v>16</v>
      </c>
      <c r="G649">
        <v>6.6</v>
      </c>
      <c r="H649" s="1">
        <v>27061</v>
      </c>
      <c r="I649" t="s">
        <v>17</v>
      </c>
      <c r="J649">
        <v>80209</v>
      </c>
      <c r="K649" t="s">
        <v>17</v>
      </c>
      <c r="L649" s="3" t="s">
        <v>18</v>
      </c>
      <c r="M649" cm="1">
        <f t="array" ref="M649">_xlfn.IFS(L648="A", 4, L648="B", 3, L648="C", 2, L648="D", 1)</f>
        <v>1</v>
      </c>
    </row>
    <row r="650" spans="1:13" hidden="1" x14ac:dyDescent="0.2">
      <c r="A650">
        <v>2023</v>
      </c>
      <c r="B650">
        <v>80209</v>
      </c>
      <c r="C650" t="s">
        <v>77</v>
      </c>
      <c r="D650" t="s">
        <v>90</v>
      </c>
      <c r="E650" t="s">
        <v>15</v>
      </c>
      <c r="F650" t="s">
        <v>16</v>
      </c>
      <c r="G650">
        <v>6.6</v>
      </c>
      <c r="H650" s="1">
        <v>27061</v>
      </c>
      <c r="I650" t="s">
        <v>36</v>
      </c>
      <c r="J650">
        <v>80209</v>
      </c>
      <c r="K650" t="s">
        <v>36</v>
      </c>
      <c r="L650" s="3" t="s">
        <v>18</v>
      </c>
      <c r="M650" cm="1">
        <f t="array" ref="M650">_xlfn.IFS(L649="A", 4, L649="B", 3, L649="C", 2, L649="D", 1)</f>
        <v>4</v>
      </c>
    </row>
    <row r="651" spans="1:13" hidden="1" x14ac:dyDescent="0.2">
      <c r="A651">
        <v>2023</v>
      </c>
      <c r="B651">
        <v>80209</v>
      </c>
      <c r="C651" t="s">
        <v>77</v>
      </c>
      <c r="D651" t="s">
        <v>90</v>
      </c>
      <c r="E651" t="s">
        <v>15</v>
      </c>
      <c r="F651" t="s">
        <v>16</v>
      </c>
      <c r="G651">
        <v>6.6</v>
      </c>
      <c r="H651" s="1">
        <v>27061</v>
      </c>
      <c r="I651" t="s">
        <v>37</v>
      </c>
      <c r="J651">
        <v>80209</v>
      </c>
      <c r="K651" t="s">
        <v>37</v>
      </c>
      <c r="L651" s="3" t="s">
        <v>18</v>
      </c>
      <c r="M651" cm="1">
        <f t="array" ref="M651">_xlfn.IFS(L650="A", 4, L650="B", 3, L650="C", 2, L650="D", 1)</f>
        <v>4</v>
      </c>
    </row>
    <row r="652" spans="1:13" hidden="1" x14ac:dyDescent="0.2">
      <c r="A652">
        <v>2022</v>
      </c>
      <c r="B652">
        <v>80209</v>
      </c>
      <c r="C652" t="s">
        <v>74</v>
      </c>
      <c r="D652" t="s">
        <v>91</v>
      </c>
      <c r="E652" t="s">
        <v>15</v>
      </c>
      <c r="F652" t="s">
        <v>16</v>
      </c>
      <c r="G652">
        <v>75.400000000000006</v>
      </c>
      <c r="H652" s="1">
        <v>27061</v>
      </c>
      <c r="I652" t="s">
        <v>32</v>
      </c>
      <c r="J652">
        <v>80209</v>
      </c>
      <c r="K652" t="s">
        <v>32</v>
      </c>
      <c r="L652" s="3" t="s">
        <v>23</v>
      </c>
      <c r="M652" cm="1">
        <f t="array" ref="M652">_xlfn.IFS(L651="A", 4, L651="B", 3, L651="C", 2, L651="D", 1)</f>
        <v>4</v>
      </c>
    </row>
    <row r="653" spans="1:13" hidden="1" x14ac:dyDescent="0.2">
      <c r="A653">
        <v>2022</v>
      </c>
      <c r="B653">
        <v>80209</v>
      </c>
      <c r="C653" t="s">
        <v>74</v>
      </c>
      <c r="D653" t="s">
        <v>91</v>
      </c>
      <c r="E653" t="s">
        <v>15</v>
      </c>
      <c r="F653" t="s">
        <v>16</v>
      </c>
      <c r="G653">
        <v>75.400000000000006</v>
      </c>
      <c r="H653" s="1">
        <v>27061</v>
      </c>
      <c r="I653" t="s">
        <v>17</v>
      </c>
      <c r="J653">
        <v>80209</v>
      </c>
      <c r="K653" t="s">
        <v>17</v>
      </c>
      <c r="L653" s="3" t="s">
        <v>18</v>
      </c>
      <c r="M653" cm="1">
        <f t="array" ref="M653">_xlfn.IFS(L652="A", 4, L652="B", 3, L652="C", 2, L652="D", 1)</f>
        <v>1</v>
      </c>
    </row>
    <row r="654" spans="1:13" hidden="1" x14ac:dyDescent="0.2">
      <c r="A654">
        <v>2022</v>
      </c>
      <c r="B654">
        <v>80209</v>
      </c>
      <c r="C654" t="s">
        <v>74</v>
      </c>
      <c r="D654" t="s">
        <v>91</v>
      </c>
      <c r="E654" t="s">
        <v>15</v>
      </c>
      <c r="F654" t="s">
        <v>16</v>
      </c>
      <c r="G654">
        <v>75.400000000000006</v>
      </c>
      <c r="H654" s="1">
        <v>27061</v>
      </c>
      <c r="I654" t="s">
        <v>36</v>
      </c>
      <c r="J654">
        <v>80209</v>
      </c>
      <c r="K654" t="s">
        <v>36</v>
      </c>
      <c r="L654" s="3" t="s">
        <v>18</v>
      </c>
      <c r="M654" cm="1">
        <f t="array" ref="M654">_xlfn.IFS(L653="A", 4, L653="B", 3, L653="C", 2, L653="D", 1)</f>
        <v>4</v>
      </c>
    </row>
    <row r="655" spans="1:13" hidden="1" x14ac:dyDescent="0.2">
      <c r="A655">
        <v>2022</v>
      </c>
      <c r="B655">
        <v>80209</v>
      </c>
      <c r="C655" t="s">
        <v>74</v>
      </c>
      <c r="D655" t="s">
        <v>91</v>
      </c>
      <c r="E655" t="s">
        <v>15</v>
      </c>
      <c r="F655" t="s">
        <v>16</v>
      </c>
      <c r="G655">
        <v>75.400000000000006</v>
      </c>
      <c r="H655" s="1">
        <v>27061</v>
      </c>
      <c r="I655" t="s">
        <v>37</v>
      </c>
      <c r="J655">
        <v>80209</v>
      </c>
      <c r="K655" t="s">
        <v>37</v>
      </c>
      <c r="L655" s="3" t="s">
        <v>18</v>
      </c>
      <c r="M655" cm="1">
        <f t="array" ref="M655">_xlfn.IFS(L654="A", 4, L654="B", 3, L654="C", 2, L654="D", 1)</f>
        <v>4</v>
      </c>
    </row>
    <row r="656" spans="1:13" hidden="1" x14ac:dyDescent="0.2">
      <c r="A656">
        <v>2023</v>
      </c>
      <c r="B656">
        <v>80209</v>
      </c>
      <c r="C656" t="s">
        <v>13</v>
      </c>
      <c r="D656" t="s">
        <v>92</v>
      </c>
      <c r="E656" t="s">
        <v>15</v>
      </c>
      <c r="F656" t="s">
        <v>16</v>
      </c>
      <c r="G656">
        <v>23.1</v>
      </c>
      <c r="H656" s="1">
        <v>27061</v>
      </c>
      <c r="I656" t="s">
        <v>32</v>
      </c>
      <c r="J656">
        <v>80209</v>
      </c>
      <c r="K656" t="s">
        <v>32</v>
      </c>
      <c r="L656" s="3" t="s">
        <v>23</v>
      </c>
      <c r="M656" cm="1">
        <f t="array" ref="M656">_xlfn.IFS(L655="A", 4, L655="B", 3, L655="C", 2, L655="D", 1)</f>
        <v>4</v>
      </c>
    </row>
    <row r="657" spans="1:13" hidden="1" x14ac:dyDescent="0.2">
      <c r="A657">
        <v>2023</v>
      </c>
      <c r="B657">
        <v>80209</v>
      </c>
      <c r="C657" t="s">
        <v>13</v>
      </c>
      <c r="D657" t="s">
        <v>92</v>
      </c>
      <c r="E657" t="s">
        <v>15</v>
      </c>
      <c r="F657" t="s">
        <v>16</v>
      </c>
      <c r="G657">
        <v>23.1</v>
      </c>
      <c r="H657" s="1">
        <v>27061</v>
      </c>
      <c r="I657" t="s">
        <v>17</v>
      </c>
      <c r="J657">
        <v>80209</v>
      </c>
      <c r="K657" t="s">
        <v>17</v>
      </c>
      <c r="L657" s="3" t="s">
        <v>18</v>
      </c>
      <c r="M657" cm="1">
        <f t="array" ref="M657">_xlfn.IFS(L656="A", 4, L656="B", 3, L656="C", 2, L656="D", 1)</f>
        <v>1</v>
      </c>
    </row>
    <row r="658" spans="1:13" hidden="1" x14ac:dyDescent="0.2">
      <c r="A658">
        <v>2023</v>
      </c>
      <c r="B658">
        <v>80209</v>
      </c>
      <c r="C658" t="s">
        <v>13</v>
      </c>
      <c r="D658" t="s">
        <v>92</v>
      </c>
      <c r="E658" t="s">
        <v>15</v>
      </c>
      <c r="F658" t="s">
        <v>16</v>
      </c>
      <c r="G658">
        <v>23.1</v>
      </c>
      <c r="H658" s="1">
        <v>27061</v>
      </c>
      <c r="I658" t="s">
        <v>36</v>
      </c>
      <c r="J658">
        <v>80209</v>
      </c>
      <c r="K658" t="s">
        <v>36</v>
      </c>
      <c r="L658" s="3" t="s">
        <v>18</v>
      </c>
      <c r="M658" cm="1">
        <f t="array" ref="M658">_xlfn.IFS(L657="A", 4, L657="B", 3, L657="C", 2, L657="D", 1)</f>
        <v>4</v>
      </c>
    </row>
    <row r="659" spans="1:13" hidden="1" x14ac:dyDescent="0.2">
      <c r="A659">
        <v>2023</v>
      </c>
      <c r="B659">
        <v>80209</v>
      </c>
      <c r="C659" t="s">
        <v>13</v>
      </c>
      <c r="D659" t="s">
        <v>92</v>
      </c>
      <c r="E659" t="s">
        <v>15</v>
      </c>
      <c r="F659" t="s">
        <v>16</v>
      </c>
      <c r="G659">
        <v>23.1</v>
      </c>
      <c r="H659" s="1">
        <v>27061</v>
      </c>
      <c r="I659" t="s">
        <v>37</v>
      </c>
      <c r="J659">
        <v>80209</v>
      </c>
      <c r="K659" t="s">
        <v>37</v>
      </c>
      <c r="L659" s="3" t="s">
        <v>18</v>
      </c>
      <c r="M659" cm="1">
        <f t="array" ref="M659">_xlfn.IFS(L658="A", 4, L658="B", 3, L658="C", 2, L658="D", 1)</f>
        <v>4</v>
      </c>
    </row>
    <row r="660" spans="1:13" hidden="1" x14ac:dyDescent="0.2">
      <c r="A660">
        <v>2023</v>
      </c>
      <c r="B660">
        <v>80209</v>
      </c>
      <c r="C660" t="s">
        <v>13</v>
      </c>
      <c r="D660" t="s">
        <v>14</v>
      </c>
      <c r="E660" t="s">
        <v>15</v>
      </c>
      <c r="F660" t="s">
        <v>16</v>
      </c>
      <c r="G660">
        <v>5.4</v>
      </c>
      <c r="H660" s="1">
        <v>27061</v>
      </c>
      <c r="I660" t="s">
        <v>32</v>
      </c>
      <c r="J660">
        <v>80209</v>
      </c>
      <c r="K660" t="s">
        <v>32</v>
      </c>
      <c r="L660" s="3" t="s">
        <v>23</v>
      </c>
      <c r="M660" cm="1">
        <f t="array" ref="M660">_xlfn.IFS(L659="A", 4, L659="B", 3, L659="C", 2, L659="D", 1)</f>
        <v>4</v>
      </c>
    </row>
    <row r="661" spans="1:13" hidden="1" x14ac:dyDescent="0.2">
      <c r="A661">
        <v>2023</v>
      </c>
      <c r="B661">
        <v>80209</v>
      </c>
      <c r="C661" t="s">
        <v>13</v>
      </c>
      <c r="D661" t="s">
        <v>14</v>
      </c>
      <c r="E661" t="s">
        <v>15</v>
      </c>
      <c r="F661" t="s">
        <v>16</v>
      </c>
      <c r="G661">
        <v>5.4</v>
      </c>
      <c r="H661" s="1">
        <v>27061</v>
      </c>
      <c r="I661" t="s">
        <v>17</v>
      </c>
      <c r="J661">
        <v>80209</v>
      </c>
      <c r="K661" t="s">
        <v>17</v>
      </c>
      <c r="L661" s="3" t="s">
        <v>18</v>
      </c>
      <c r="M661" cm="1">
        <f t="array" ref="M661">_xlfn.IFS(L660="A", 4, L660="B", 3, L660="C", 2, L660="D", 1)</f>
        <v>1</v>
      </c>
    </row>
    <row r="662" spans="1:13" hidden="1" x14ac:dyDescent="0.2">
      <c r="A662">
        <v>2023</v>
      </c>
      <c r="B662">
        <v>80209</v>
      </c>
      <c r="C662" t="s">
        <v>13</v>
      </c>
      <c r="D662" t="s">
        <v>14</v>
      </c>
      <c r="E662" t="s">
        <v>15</v>
      </c>
      <c r="F662" t="s">
        <v>16</v>
      </c>
      <c r="G662">
        <v>5.4</v>
      </c>
      <c r="H662" s="1">
        <v>27061</v>
      </c>
      <c r="I662" t="s">
        <v>36</v>
      </c>
      <c r="J662">
        <v>80209</v>
      </c>
      <c r="K662" t="s">
        <v>36</v>
      </c>
      <c r="L662" s="3" t="s">
        <v>18</v>
      </c>
      <c r="M662" cm="1">
        <f t="array" ref="M662">_xlfn.IFS(L661="A", 4, L661="B", 3, L661="C", 2, L661="D", 1)</f>
        <v>4</v>
      </c>
    </row>
    <row r="663" spans="1:13" hidden="1" x14ac:dyDescent="0.2">
      <c r="A663">
        <v>2023</v>
      </c>
      <c r="B663">
        <v>80209</v>
      </c>
      <c r="C663" t="s">
        <v>13</v>
      </c>
      <c r="D663" t="s">
        <v>14</v>
      </c>
      <c r="E663" t="s">
        <v>15</v>
      </c>
      <c r="F663" t="s">
        <v>16</v>
      </c>
      <c r="G663">
        <v>5.4</v>
      </c>
      <c r="H663" s="1">
        <v>27061</v>
      </c>
      <c r="I663" t="s">
        <v>37</v>
      </c>
      <c r="J663">
        <v>80209</v>
      </c>
      <c r="K663" t="s">
        <v>37</v>
      </c>
      <c r="L663" s="3" t="s">
        <v>18</v>
      </c>
      <c r="M663" cm="1">
        <f t="array" ref="M663">_xlfn.IFS(L662="A", 4, L662="B", 3, L662="C", 2, L662="D", 1)</f>
        <v>4</v>
      </c>
    </row>
    <row r="664" spans="1:13" hidden="1" x14ac:dyDescent="0.2">
      <c r="A664">
        <v>2023</v>
      </c>
      <c r="B664">
        <v>80209</v>
      </c>
      <c r="C664" t="s">
        <v>86</v>
      </c>
      <c r="D664" t="s">
        <v>93</v>
      </c>
      <c r="E664" t="s">
        <v>15</v>
      </c>
      <c r="F664" t="s">
        <v>16</v>
      </c>
      <c r="G664">
        <v>19.5</v>
      </c>
      <c r="H664" s="1">
        <v>27061</v>
      </c>
      <c r="I664" t="s">
        <v>32</v>
      </c>
      <c r="J664">
        <v>80209</v>
      </c>
      <c r="K664" t="s">
        <v>32</v>
      </c>
      <c r="L664" s="3" t="s">
        <v>23</v>
      </c>
      <c r="M664" cm="1">
        <f t="array" ref="M664">_xlfn.IFS(L663="A", 4, L663="B", 3, L663="C", 2, L663="D", 1)</f>
        <v>4</v>
      </c>
    </row>
    <row r="665" spans="1:13" hidden="1" x14ac:dyDescent="0.2">
      <c r="A665">
        <v>2023</v>
      </c>
      <c r="B665">
        <v>80209</v>
      </c>
      <c r="C665" t="s">
        <v>86</v>
      </c>
      <c r="D665" t="s">
        <v>93</v>
      </c>
      <c r="E665" t="s">
        <v>15</v>
      </c>
      <c r="F665" t="s">
        <v>16</v>
      </c>
      <c r="G665">
        <v>19.5</v>
      </c>
      <c r="H665" s="1">
        <v>27061</v>
      </c>
      <c r="I665" t="s">
        <v>17</v>
      </c>
      <c r="J665">
        <v>80209</v>
      </c>
      <c r="K665" t="s">
        <v>17</v>
      </c>
      <c r="L665" s="3" t="s">
        <v>18</v>
      </c>
      <c r="M665" cm="1">
        <f t="array" ref="M665">_xlfn.IFS(L664="A", 4, L664="B", 3, L664="C", 2, L664="D", 1)</f>
        <v>1</v>
      </c>
    </row>
    <row r="666" spans="1:13" hidden="1" x14ac:dyDescent="0.2">
      <c r="A666">
        <v>2023</v>
      </c>
      <c r="B666">
        <v>80209</v>
      </c>
      <c r="C666" t="s">
        <v>86</v>
      </c>
      <c r="D666" t="s">
        <v>93</v>
      </c>
      <c r="E666" t="s">
        <v>15</v>
      </c>
      <c r="F666" t="s">
        <v>16</v>
      </c>
      <c r="G666">
        <v>19.5</v>
      </c>
      <c r="H666" s="1">
        <v>27061</v>
      </c>
      <c r="I666" t="s">
        <v>36</v>
      </c>
      <c r="J666">
        <v>80209</v>
      </c>
      <c r="K666" t="s">
        <v>36</v>
      </c>
      <c r="L666" s="3" t="s">
        <v>18</v>
      </c>
      <c r="M666" cm="1">
        <f t="array" ref="M666">_xlfn.IFS(L665="A", 4, L665="B", 3, L665="C", 2, L665="D", 1)</f>
        <v>4</v>
      </c>
    </row>
    <row r="667" spans="1:13" hidden="1" x14ac:dyDescent="0.2">
      <c r="A667">
        <v>2023</v>
      </c>
      <c r="B667">
        <v>80209</v>
      </c>
      <c r="C667" t="s">
        <v>86</v>
      </c>
      <c r="D667" t="s">
        <v>93</v>
      </c>
      <c r="E667" t="s">
        <v>15</v>
      </c>
      <c r="F667" t="s">
        <v>16</v>
      </c>
      <c r="G667">
        <v>19.5</v>
      </c>
      <c r="H667" s="1">
        <v>27061</v>
      </c>
      <c r="I667" t="s">
        <v>37</v>
      </c>
      <c r="J667">
        <v>80209</v>
      </c>
      <c r="K667" t="s">
        <v>37</v>
      </c>
      <c r="L667" s="3" t="s">
        <v>18</v>
      </c>
      <c r="M667" cm="1">
        <f t="array" ref="M667">_xlfn.IFS(L666="A", 4, L666="B", 3, L666="C", 2, L666="D", 1)</f>
        <v>4</v>
      </c>
    </row>
    <row r="668" spans="1:13" hidden="1" x14ac:dyDescent="0.2">
      <c r="A668">
        <v>2023</v>
      </c>
      <c r="B668">
        <v>80209</v>
      </c>
      <c r="C668" t="s">
        <v>94</v>
      </c>
      <c r="D668" t="s">
        <v>95</v>
      </c>
      <c r="E668" t="s">
        <v>15</v>
      </c>
      <c r="F668" t="s">
        <v>16</v>
      </c>
      <c r="G668">
        <v>9.1</v>
      </c>
      <c r="H668" s="1">
        <v>27061</v>
      </c>
      <c r="I668" t="s">
        <v>32</v>
      </c>
      <c r="J668">
        <v>80209</v>
      </c>
      <c r="K668" t="s">
        <v>32</v>
      </c>
      <c r="L668" s="3" t="s">
        <v>23</v>
      </c>
      <c r="M668" cm="1">
        <f t="array" ref="M668">_xlfn.IFS(L667="A", 4, L667="B", 3, L667="C", 2, L667="D", 1)</f>
        <v>4</v>
      </c>
    </row>
    <row r="669" spans="1:13" hidden="1" x14ac:dyDescent="0.2">
      <c r="A669">
        <v>2023</v>
      </c>
      <c r="B669">
        <v>80209</v>
      </c>
      <c r="C669" t="s">
        <v>94</v>
      </c>
      <c r="D669" t="s">
        <v>95</v>
      </c>
      <c r="E669" t="s">
        <v>15</v>
      </c>
      <c r="F669" t="s">
        <v>16</v>
      </c>
      <c r="G669">
        <v>9.1</v>
      </c>
      <c r="H669" s="1">
        <v>27061</v>
      </c>
      <c r="I669" t="s">
        <v>17</v>
      </c>
      <c r="J669">
        <v>80209</v>
      </c>
      <c r="K669" t="s">
        <v>17</v>
      </c>
      <c r="L669" s="3" t="s">
        <v>18</v>
      </c>
      <c r="M669" cm="1">
        <f t="array" ref="M669">_xlfn.IFS(L668="A", 4, L668="B", 3, L668="C", 2, L668="D", 1)</f>
        <v>1</v>
      </c>
    </row>
    <row r="670" spans="1:13" hidden="1" x14ac:dyDescent="0.2">
      <c r="A670">
        <v>2023</v>
      </c>
      <c r="B670">
        <v>80209</v>
      </c>
      <c r="C670" t="s">
        <v>94</v>
      </c>
      <c r="D670" t="s">
        <v>95</v>
      </c>
      <c r="E670" t="s">
        <v>15</v>
      </c>
      <c r="F670" t="s">
        <v>16</v>
      </c>
      <c r="G670">
        <v>9.1</v>
      </c>
      <c r="H670" s="1">
        <v>27061</v>
      </c>
      <c r="I670" t="s">
        <v>36</v>
      </c>
      <c r="J670">
        <v>80209</v>
      </c>
      <c r="K670" t="s">
        <v>36</v>
      </c>
      <c r="L670" s="3" t="s">
        <v>18</v>
      </c>
      <c r="M670" cm="1">
        <f t="array" ref="M670">_xlfn.IFS(L669="A", 4, L669="B", 3, L669="C", 2, L669="D", 1)</f>
        <v>4</v>
      </c>
    </row>
    <row r="671" spans="1:13" hidden="1" x14ac:dyDescent="0.2">
      <c r="A671">
        <v>2023</v>
      </c>
      <c r="B671">
        <v>80209</v>
      </c>
      <c r="C671" t="s">
        <v>94</v>
      </c>
      <c r="D671" t="s">
        <v>95</v>
      </c>
      <c r="E671" t="s">
        <v>15</v>
      </c>
      <c r="F671" t="s">
        <v>16</v>
      </c>
      <c r="G671">
        <v>9.1</v>
      </c>
      <c r="H671" s="1">
        <v>27061</v>
      </c>
      <c r="I671" t="s">
        <v>37</v>
      </c>
      <c r="J671">
        <v>80209</v>
      </c>
      <c r="K671" t="s">
        <v>37</v>
      </c>
      <c r="L671" s="3" t="s">
        <v>18</v>
      </c>
      <c r="M671" cm="1">
        <f t="array" ref="M671">_xlfn.IFS(L670="A", 4, L670="B", 3, L670="C", 2, L670="D", 1)</f>
        <v>4</v>
      </c>
    </row>
    <row r="672" spans="1:13" hidden="1" x14ac:dyDescent="0.2">
      <c r="A672">
        <v>2023</v>
      </c>
      <c r="B672">
        <v>80209</v>
      </c>
      <c r="C672" t="s">
        <v>86</v>
      </c>
      <c r="D672" t="s">
        <v>96</v>
      </c>
      <c r="E672" t="s">
        <v>15</v>
      </c>
      <c r="F672" t="s">
        <v>16</v>
      </c>
      <c r="G672">
        <v>4.9000000000000004</v>
      </c>
      <c r="H672" s="1">
        <v>27061</v>
      </c>
      <c r="I672" t="s">
        <v>32</v>
      </c>
      <c r="J672">
        <v>80209</v>
      </c>
      <c r="K672" t="s">
        <v>32</v>
      </c>
      <c r="L672" s="3" t="s">
        <v>23</v>
      </c>
      <c r="M672" cm="1">
        <f t="array" ref="M672">_xlfn.IFS(L671="A", 4, L671="B", 3, L671="C", 2, L671="D", 1)</f>
        <v>4</v>
      </c>
    </row>
    <row r="673" spans="1:13" hidden="1" x14ac:dyDescent="0.2">
      <c r="A673">
        <v>2023</v>
      </c>
      <c r="B673">
        <v>80209</v>
      </c>
      <c r="C673" t="s">
        <v>86</v>
      </c>
      <c r="D673" t="s">
        <v>96</v>
      </c>
      <c r="E673" t="s">
        <v>15</v>
      </c>
      <c r="F673" t="s">
        <v>16</v>
      </c>
      <c r="G673">
        <v>4.9000000000000004</v>
      </c>
      <c r="H673" s="1">
        <v>27061</v>
      </c>
      <c r="I673" t="s">
        <v>17</v>
      </c>
      <c r="J673">
        <v>80209</v>
      </c>
      <c r="K673" t="s">
        <v>17</v>
      </c>
      <c r="L673" s="3" t="s">
        <v>18</v>
      </c>
      <c r="M673" cm="1">
        <f t="array" ref="M673">_xlfn.IFS(L672="A", 4, L672="B", 3, L672="C", 2, L672="D", 1)</f>
        <v>1</v>
      </c>
    </row>
    <row r="674" spans="1:13" hidden="1" x14ac:dyDescent="0.2">
      <c r="A674">
        <v>2023</v>
      </c>
      <c r="B674">
        <v>80209</v>
      </c>
      <c r="C674" t="s">
        <v>86</v>
      </c>
      <c r="D674" t="s">
        <v>96</v>
      </c>
      <c r="E674" t="s">
        <v>15</v>
      </c>
      <c r="F674" t="s">
        <v>16</v>
      </c>
      <c r="G674">
        <v>4.9000000000000004</v>
      </c>
      <c r="H674" s="1">
        <v>27061</v>
      </c>
      <c r="I674" t="s">
        <v>36</v>
      </c>
      <c r="J674">
        <v>80209</v>
      </c>
      <c r="K674" t="s">
        <v>36</v>
      </c>
      <c r="L674" s="3" t="s">
        <v>18</v>
      </c>
      <c r="M674" cm="1">
        <f t="array" ref="M674">_xlfn.IFS(L673="A", 4, L673="B", 3, L673="C", 2, L673="D", 1)</f>
        <v>4</v>
      </c>
    </row>
    <row r="675" spans="1:13" hidden="1" x14ac:dyDescent="0.2">
      <c r="A675">
        <v>2023</v>
      </c>
      <c r="B675">
        <v>80209</v>
      </c>
      <c r="C675" t="s">
        <v>86</v>
      </c>
      <c r="D675" t="s">
        <v>96</v>
      </c>
      <c r="E675" t="s">
        <v>15</v>
      </c>
      <c r="F675" t="s">
        <v>16</v>
      </c>
      <c r="G675">
        <v>4.9000000000000004</v>
      </c>
      <c r="H675" s="1">
        <v>27061</v>
      </c>
      <c r="I675" t="s">
        <v>37</v>
      </c>
      <c r="J675">
        <v>80209</v>
      </c>
      <c r="K675" t="s">
        <v>37</v>
      </c>
      <c r="L675" s="3" t="s">
        <v>18</v>
      </c>
      <c r="M675" cm="1">
        <f t="array" ref="M675">_xlfn.IFS(L674="A", 4, L674="B", 3, L674="C", 2, L674="D", 1)</f>
        <v>4</v>
      </c>
    </row>
    <row r="676" spans="1:13" hidden="1" x14ac:dyDescent="0.2">
      <c r="A676">
        <v>2023</v>
      </c>
      <c r="B676">
        <v>80209</v>
      </c>
      <c r="C676" t="s">
        <v>13</v>
      </c>
      <c r="D676" t="s">
        <v>97</v>
      </c>
      <c r="E676" t="s">
        <v>15</v>
      </c>
      <c r="F676" t="s">
        <v>16</v>
      </c>
      <c r="G676">
        <v>28.7</v>
      </c>
      <c r="H676" s="1">
        <v>27061</v>
      </c>
      <c r="I676" t="s">
        <v>32</v>
      </c>
      <c r="J676">
        <v>80209</v>
      </c>
      <c r="K676" t="s">
        <v>32</v>
      </c>
      <c r="L676" s="3" t="s">
        <v>23</v>
      </c>
      <c r="M676" cm="1">
        <f t="array" ref="M676">_xlfn.IFS(L675="A", 4, L675="B", 3, L675="C", 2, L675="D", 1)</f>
        <v>4</v>
      </c>
    </row>
    <row r="677" spans="1:13" hidden="1" x14ac:dyDescent="0.2">
      <c r="A677">
        <v>2023</v>
      </c>
      <c r="B677">
        <v>80209</v>
      </c>
      <c r="C677" t="s">
        <v>13</v>
      </c>
      <c r="D677" t="s">
        <v>97</v>
      </c>
      <c r="E677" t="s">
        <v>15</v>
      </c>
      <c r="F677" t="s">
        <v>16</v>
      </c>
      <c r="G677">
        <v>28.7</v>
      </c>
      <c r="H677" s="1">
        <v>27061</v>
      </c>
      <c r="I677" t="s">
        <v>17</v>
      </c>
      <c r="J677">
        <v>80209</v>
      </c>
      <c r="K677" t="s">
        <v>17</v>
      </c>
      <c r="L677" s="3" t="s">
        <v>18</v>
      </c>
      <c r="M677" cm="1">
        <f t="array" ref="M677">_xlfn.IFS(L676="A", 4, L676="B", 3, L676="C", 2, L676="D", 1)</f>
        <v>1</v>
      </c>
    </row>
    <row r="678" spans="1:13" hidden="1" x14ac:dyDescent="0.2">
      <c r="A678">
        <v>2023</v>
      </c>
      <c r="B678">
        <v>80209</v>
      </c>
      <c r="C678" t="s">
        <v>13</v>
      </c>
      <c r="D678" t="s">
        <v>97</v>
      </c>
      <c r="E678" t="s">
        <v>15</v>
      </c>
      <c r="F678" t="s">
        <v>16</v>
      </c>
      <c r="G678">
        <v>28.7</v>
      </c>
      <c r="H678" s="1">
        <v>27061</v>
      </c>
      <c r="I678" t="s">
        <v>36</v>
      </c>
      <c r="J678">
        <v>80209</v>
      </c>
      <c r="K678" t="s">
        <v>36</v>
      </c>
      <c r="L678" s="3" t="s">
        <v>18</v>
      </c>
      <c r="M678" cm="1">
        <f t="array" ref="M678">_xlfn.IFS(L677="A", 4, L677="B", 3, L677="C", 2, L677="D", 1)</f>
        <v>4</v>
      </c>
    </row>
    <row r="679" spans="1:13" hidden="1" x14ac:dyDescent="0.2">
      <c r="A679">
        <v>2023</v>
      </c>
      <c r="B679">
        <v>80209</v>
      </c>
      <c r="C679" t="s">
        <v>13</v>
      </c>
      <c r="D679" t="s">
        <v>97</v>
      </c>
      <c r="E679" t="s">
        <v>15</v>
      </c>
      <c r="F679" t="s">
        <v>16</v>
      </c>
      <c r="G679">
        <v>28.7</v>
      </c>
      <c r="H679" s="1">
        <v>27061</v>
      </c>
      <c r="I679" t="s">
        <v>37</v>
      </c>
      <c r="J679">
        <v>80209</v>
      </c>
      <c r="K679" t="s">
        <v>37</v>
      </c>
      <c r="L679" s="3" t="s">
        <v>18</v>
      </c>
      <c r="M679" cm="1">
        <f t="array" ref="M679">_xlfn.IFS(L678="A", 4, L678="B", 3, L678="C", 2, L678="D", 1)</f>
        <v>4</v>
      </c>
    </row>
    <row r="680" spans="1:13" hidden="1" x14ac:dyDescent="0.2">
      <c r="A680">
        <v>2023</v>
      </c>
      <c r="B680">
        <v>80209</v>
      </c>
      <c r="C680" t="s">
        <v>86</v>
      </c>
      <c r="D680" t="s">
        <v>98</v>
      </c>
      <c r="E680" t="s">
        <v>15</v>
      </c>
      <c r="F680" t="s">
        <v>16</v>
      </c>
      <c r="G680">
        <v>4.4000000000000004</v>
      </c>
      <c r="H680" s="1">
        <v>27061</v>
      </c>
      <c r="I680" t="s">
        <v>32</v>
      </c>
      <c r="J680">
        <v>80209</v>
      </c>
      <c r="K680" t="s">
        <v>32</v>
      </c>
      <c r="L680" s="3" t="s">
        <v>23</v>
      </c>
      <c r="M680" cm="1">
        <f t="array" ref="M680">_xlfn.IFS(L679="A", 4, L679="B", 3, L679="C", 2, L679="D", 1)</f>
        <v>4</v>
      </c>
    </row>
    <row r="681" spans="1:13" hidden="1" x14ac:dyDescent="0.2">
      <c r="A681">
        <v>2023</v>
      </c>
      <c r="B681">
        <v>80209</v>
      </c>
      <c r="C681" t="s">
        <v>86</v>
      </c>
      <c r="D681" t="s">
        <v>98</v>
      </c>
      <c r="E681" t="s">
        <v>15</v>
      </c>
      <c r="F681" t="s">
        <v>16</v>
      </c>
      <c r="G681">
        <v>4.4000000000000004</v>
      </c>
      <c r="H681" s="1">
        <v>27061</v>
      </c>
      <c r="I681" t="s">
        <v>17</v>
      </c>
      <c r="J681">
        <v>80209</v>
      </c>
      <c r="K681" t="s">
        <v>17</v>
      </c>
      <c r="L681" s="3" t="s">
        <v>18</v>
      </c>
      <c r="M681" cm="1">
        <f t="array" ref="M681">_xlfn.IFS(L680="A", 4, L680="B", 3, L680="C", 2, L680="D", 1)</f>
        <v>1</v>
      </c>
    </row>
    <row r="682" spans="1:13" hidden="1" x14ac:dyDescent="0.2">
      <c r="A682">
        <v>2023</v>
      </c>
      <c r="B682">
        <v>80209</v>
      </c>
      <c r="C682" t="s">
        <v>86</v>
      </c>
      <c r="D682" t="s">
        <v>98</v>
      </c>
      <c r="E682" t="s">
        <v>15</v>
      </c>
      <c r="F682" t="s">
        <v>16</v>
      </c>
      <c r="G682">
        <v>4.4000000000000004</v>
      </c>
      <c r="H682" s="1">
        <v>27061</v>
      </c>
      <c r="I682" t="s">
        <v>36</v>
      </c>
      <c r="J682">
        <v>80209</v>
      </c>
      <c r="K682" t="s">
        <v>36</v>
      </c>
      <c r="L682" s="3" t="s">
        <v>18</v>
      </c>
      <c r="M682" cm="1">
        <f t="array" ref="M682">_xlfn.IFS(L681="A", 4, L681="B", 3, L681="C", 2, L681="D", 1)</f>
        <v>4</v>
      </c>
    </row>
    <row r="683" spans="1:13" hidden="1" x14ac:dyDescent="0.2">
      <c r="A683">
        <v>2023</v>
      </c>
      <c r="B683">
        <v>80209</v>
      </c>
      <c r="C683" t="s">
        <v>86</v>
      </c>
      <c r="D683" t="s">
        <v>98</v>
      </c>
      <c r="E683" t="s">
        <v>15</v>
      </c>
      <c r="F683" t="s">
        <v>16</v>
      </c>
      <c r="G683">
        <v>4.4000000000000004</v>
      </c>
      <c r="H683" s="1">
        <v>27061</v>
      </c>
      <c r="I683" t="s">
        <v>37</v>
      </c>
      <c r="J683">
        <v>80209</v>
      </c>
      <c r="K683" t="s">
        <v>37</v>
      </c>
      <c r="L683" s="3" t="s">
        <v>18</v>
      </c>
      <c r="M683" cm="1">
        <f t="array" ref="M683">_xlfn.IFS(L682="A", 4, L682="B", 3, L682="C", 2, L682="D", 1)</f>
        <v>4</v>
      </c>
    </row>
    <row r="684" spans="1:13" hidden="1" x14ac:dyDescent="0.2">
      <c r="A684">
        <v>2023</v>
      </c>
      <c r="B684">
        <v>80209</v>
      </c>
      <c r="C684" t="s">
        <v>77</v>
      </c>
      <c r="D684" t="s">
        <v>99</v>
      </c>
      <c r="E684" t="s">
        <v>15</v>
      </c>
      <c r="F684" t="s">
        <v>16</v>
      </c>
      <c r="G684">
        <v>11.1</v>
      </c>
      <c r="H684" s="1">
        <v>27061</v>
      </c>
      <c r="I684" t="s">
        <v>32</v>
      </c>
      <c r="J684">
        <v>80209</v>
      </c>
      <c r="K684" t="s">
        <v>32</v>
      </c>
      <c r="L684" s="3" t="s">
        <v>23</v>
      </c>
      <c r="M684" cm="1">
        <f t="array" ref="M684">_xlfn.IFS(L683="A", 4, L683="B", 3, L683="C", 2, L683="D", 1)</f>
        <v>4</v>
      </c>
    </row>
    <row r="685" spans="1:13" hidden="1" x14ac:dyDescent="0.2">
      <c r="A685">
        <v>2023</v>
      </c>
      <c r="B685">
        <v>80209</v>
      </c>
      <c r="C685" t="s">
        <v>77</v>
      </c>
      <c r="D685" t="s">
        <v>99</v>
      </c>
      <c r="E685" t="s">
        <v>15</v>
      </c>
      <c r="F685" t="s">
        <v>16</v>
      </c>
      <c r="G685">
        <v>11.1</v>
      </c>
      <c r="H685" s="1">
        <v>27061</v>
      </c>
      <c r="I685" t="s">
        <v>17</v>
      </c>
      <c r="J685">
        <v>80209</v>
      </c>
      <c r="K685" t="s">
        <v>17</v>
      </c>
      <c r="L685" s="3" t="s">
        <v>18</v>
      </c>
      <c r="M685" cm="1">
        <f t="array" ref="M685">_xlfn.IFS(L684="A", 4, L684="B", 3, L684="C", 2, L684="D", 1)</f>
        <v>1</v>
      </c>
    </row>
    <row r="686" spans="1:13" hidden="1" x14ac:dyDescent="0.2">
      <c r="A686">
        <v>2023</v>
      </c>
      <c r="B686">
        <v>80209</v>
      </c>
      <c r="C686" t="s">
        <v>77</v>
      </c>
      <c r="D686" t="s">
        <v>99</v>
      </c>
      <c r="E686" t="s">
        <v>15</v>
      </c>
      <c r="F686" t="s">
        <v>16</v>
      </c>
      <c r="G686">
        <v>11.1</v>
      </c>
      <c r="H686" s="1">
        <v>27061</v>
      </c>
      <c r="I686" t="s">
        <v>36</v>
      </c>
      <c r="J686">
        <v>80209</v>
      </c>
      <c r="K686" t="s">
        <v>36</v>
      </c>
      <c r="L686" s="3" t="s">
        <v>18</v>
      </c>
      <c r="M686" cm="1">
        <f t="array" ref="M686">_xlfn.IFS(L685="A", 4, L685="B", 3, L685="C", 2, L685="D", 1)</f>
        <v>4</v>
      </c>
    </row>
    <row r="687" spans="1:13" hidden="1" x14ac:dyDescent="0.2">
      <c r="A687">
        <v>2023</v>
      </c>
      <c r="B687">
        <v>80209</v>
      </c>
      <c r="C687" t="s">
        <v>77</v>
      </c>
      <c r="D687" t="s">
        <v>99</v>
      </c>
      <c r="E687" t="s">
        <v>15</v>
      </c>
      <c r="F687" t="s">
        <v>16</v>
      </c>
      <c r="G687">
        <v>11.1</v>
      </c>
      <c r="H687" s="1">
        <v>27061</v>
      </c>
      <c r="I687" t="s">
        <v>37</v>
      </c>
      <c r="J687">
        <v>80209</v>
      </c>
      <c r="K687" t="s">
        <v>37</v>
      </c>
      <c r="L687" s="3" t="s">
        <v>18</v>
      </c>
      <c r="M687" cm="1">
        <f t="array" ref="M687">_xlfn.IFS(L686="A", 4, L686="B", 3, L686="C", 2, L686="D", 1)</f>
        <v>4</v>
      </c>
    </row>
    <row r="688" spans="1:13" hidden="1" x14ac:dyDescent="0.2">
      <c r="A688">
        <v>2022</v>
      </c>
      <c r="B688">
        <v>80209</v>
      </c>
      <c r="C688" t="s">
        <v>74</v>
      </c>
      <c r="D688" t="s">
        <v>100</v>
      </c>
      <c r="E688" t="s">
        <v>15</v>
      </c>
      <c r="F688" t="s">
        <v>16</v>
      </c>
      <c r="G688">
        <v>76.099999999999994</v>
      </c>
      <c r="H688" s="1">
        <v>27061</v>
      </c>
      <c r="I688" t="s">
        <v>32</v>
      </c>
      <c r="J688">
        <v>80209</v>
      </c>
      <c r="K688" t="s">
        <v>32</v>
      </c>
      <c r="L688" s="3" t="s">
        <v>23</v>
      </c>
      <c r="M688" cm="1">
        <f t="array" ref="M688">_xlfn.IFS(L687="A", 4, L687="B", 3, L687="C", 2, L687="D", 1)</f>
        <v>4</v>
      </c>
    </row>
    <row r="689" spans="1:13" hidden="1" x14ac:dyDescent="0.2">
      <c r="A689">
        <v>2022</v>
      </c>
      <c r="B689">
        <v>80209</v>
      </c>
      <c r="C689" t="s">
        <v>74</v>
      </c>
      <c r="D689" t="s">
        <v>100</v>
      </c>
      <c r="E689" t="s">
        <v>15</v>
      </c>
      <c r="F689" t="s">
        <v>16</v>
      </c>
      <c r="G689">
        <v>76.099999999999994</v>
      </c>
      <c r="H689" s="1">
        <v>27061</v>
      </c>
      <c r="I689" t="s">
        <v>17</v>
      </c>
      <c r="J689">
        <v>80209</v>
      </c>
      <c r="K689" t="s">
        <v>17</v>
      </c>
      <c r="L689" s="3" t="s">
        <v>18</v>
      </c>
      <c r="M689" cm="1">
        <f t="array" ref="M689">_xlfn.IFS(L688="A", 4, L688="B", 3, L688="C", 2, L688="D", 1)</f>
        <v>1</v>
      </c>
    </row>
    <row r="690" spans="1:13" hidden="1" x14ac:dyDescent="0.2">
      <c r="A690">
        <v>2022</v>
      </c>
      <c r="B690">
        <v>80209</v>
      </c>
      <c r="C690" t="s">
        <v>74</v>
      </c>
      <c r="D690" t="s">
        <v>100</v>
      </c>
      <c r="E690" t="s">
        <v>15</v>
      </c>
      <c r="F690" t="s">
        <v>16</v>
      </c>
      <c r="G690">
        <v>76.099999999999994</v>
      </c>
      <c r="H690" s="1">
        <v>27061</v>
      </c>
      <c r="I690" t="s">
        <v>36</v>
      </c>
      <c r="J690">
        <v>80209</v>
      </c>
      <c r="K690" t="s">
        <v>36</v>
      </c>
      <c r="L690" s="3" t="s">
        <v>18</v>
      </c>
      <c r="M690" cm="1">
        <f t="array" ref="M690">_xlfn.IFS(L689="A", 4, L689="B", 3, L689="C", 2, L689="D", 1)</f>
        <v>4</v>
      </c>
    </row>
    <row r="691" spans="1:13" hidden="1" x14ac:dyDescent="0.2">
      <c r="A691">
        <v>2022</v>
      </c>
      <c r="B691">
        <v>80209</v>
      </c>
      <c r="C691" t="s">
        <v>74</v>
      </c>
      <c r="D691" t="s">
        <v>100</v>
      </c>
      <c r="E691" t="s">
        <v>15</v>
      </c>
      <c r="F691" t="s">
        <v>16</v>
      </c>
      <c r="G691">
        <v>76.099999999999994</v>
      </c>
      <c r="H691" s="1">
        <v>27061</v>
      </c>
      <c r="I691" t="s">
        <v>37</v>
      </c>
      <c r="J691">
        <v>80209</v>
      </c>
      <c r="K691" t="s">
        <v>37</v>
      </c>
      <c r="L691" s="3" t="s">
        <v>18</v>
      </c>
      <c r="M691" cm="1">
        <f t="array" ref="M691">_xlfn.IFS(L690="A", 4, L690="B", 3, L690="C", 2, L690="D", 1)</f>
        <v>4</v>
      </c>
    </row>
    <row r="692" spans="1:13" hidden="1" x14ac:dyDescent="0.2">
      <c r="A692">
        <v>2023</v>
      </c>
      <c r="B692">
        <v>80209</v>
      </c>
      <c r="C692" t="s">
        <v>94</v>
      </c>
      <c r="D692" t="s">
        <v>101</v>
      </c>
      <c r="E692" t="s">
        <v>15</v>
      </c>
      <c r="F692" t="s">
        <v>16</v>
      </c>
      <c r="G692">
        <v>13</v>
      </c>
      <c r="H692" s="1">
        <v>27061</v>
      </c>
      <c r="I692" t="s">
        <v>32</v>
      </c>
      <c r="J692">
        <v>80209</v>
      </c>
      <c r="K692" t="s">
        <v>32</v>
      </c>
      <c r="L692" s="3" t="s">
        <v>23</v>
      </c>
      <c r="M692" cm="1">
        <f t="array" ref="M692">_xlfn.IFS(L691="A", 4, L691="B", 3, L691="C", 2, L691="D", 1)</f>
        <v>4</v>
      </c>
    </row>
    <row r="693" spans="1:13" hidden="1" x14ac:dyDescent="0.2">
      <c r="A693">
        <v>2023</v>
      </c>
      <c r="B693">
        <v>80209</v>
      </c>
      <c r="C693" t="s">
        <v>94</v>
      </c>
      <c r="D693" t="s">
        <v>101</v>
      </c>
      <c r="E693" t="s">
        <v>15</v>
      </c>
      <c r="F693" t="s">
        <v>16</v>
      </c>
      <c r="G693">
        <v>13</v>
      </c>
      <c r="H693" s="1">
        <v>27061</v>
      </c>
      <c r="I693" t="s">
        <v>17</v>
      </c>
      <c r="J693">
        <v>80209</v>
      </c>
      <c r="K693" t="s">
        <v>17</v>
      </c>
      <c r="L693" s="3" t="s">
        <v>18</v>
      </c>
      <c r="M693" cm="1">
        <f t="array" ref="M693">_xlfn.IFS(L692="A", 4, L692="B", 3, L692="C", 2, L692="D", 1)</f>
        <v>1</v>
      </c>
    </row>
    <row r="694" spans="1:13" hidden="1" x14ac:dyDescent="0.2">
      <c r="A694">
        <v>2023</v>
      </c>
      <c r="B694">
        <v>80209</v>
      </c>
      <c r="C694" t="s">
        <v>94</v>
      </c>
      <c r="D694" t="s">
        <v>101</v>
      </c>
      <c r="E694" t="s">
        <v>15</v>
      </c>
      <c r="F694" t="s">
        <v>16</v>
      </c>
      <c r="G694">
        <v>13</v>
      </c>
      <c r="H694" s="1">
        <v>27061</v>
      </c>
      <c r="I694" t="s">
        <v>36</v>
      </c>
      <c r="J694">
        <v>80209</v>
      </c>
      <c r="K694" t="s">
        <v>36</v>
      </c>
      <c r="L694" s="3" t="s">
        <v>18</v>
      </c>
      <c r="M694" cm="1">
        <f t="array" ref="M694">_xlfn.IFS(L693="A", 4, L693="B", 3, L693="C", 2, L693="D", 1)</f>
        <v>4</v>
      </c>
    </row>
    <row r="695" spans="1:13" hidden="1" x14ac:dyDescent="0.2">
      <c r="A695">
        <v>2023</v>
      </c>
      <c r="B695">
        <v>80209</v>
      </c>
      <c r="C695" t="s">
        <v>94</v>
      </c>
      <c r="D695" t="s">
        <v>101</v>
      </c>
      <c r="E695" t="s">
        <v>15</v>
      </c>
      <c r="F695" t="s">
        <v>16</v>
      </c>
      <c r="G695">
        <v>13</v>
      </c>
      <c r="H695" s="1">
        <v>27061</v>
      </c>
      <c r="I695" t="s">
        <v>37</v>
      </c>
      <c r="J695">
        <v>80209</v>
      </c>
      <c r="K695" t="s">
        <v>37</v>
      </c>
      <c r="L695" s="3" t="s">
        <v>18</v>
      </c>
      <c r="M695" cm="1">
        <f t="array" ref="M695">_xlfn.IFS(L694="A", 4, L694="B", 3, L694="C", 2, L694="D", 1)</f>
        <v>4</v>
      </c>
    </row>
    <row r="696" spans="1:13" hidden="1" x14ac:dyDescent="0.2">
      <c r="A696">
        <v>2023</v>
      </c>
      <c r="B696">
        <v>80209</v>
      </c>
      <c r="C696" t="s">
        <v>86</v>
      </c>
      <c r="D696" t="s">
        <v>102</v>
      </c>
      <c r="E696" t="s">
        <v>15</v>
      </c>
      <c r="F696" t="s">
        <v>16</v>
      </c>
      <c r="G696">
        <v>6.5</v>
      </c>
      <c r="H696" s="1">
        <v>27061</v>
      </c>
      <c r="I696" t="s">
        <v>32</v>
      </c>
      <c r="J696">
        <v>80209</v>
      </c>
      <c r="K696" t="s">
        <v>32</v>
      </c>
      <c r="L696" s="3" t="s">
        <v>23</v>
      </c>
      <c r="M696" cm="1">
        <f t="array" ref="M696">_xlfn.IFS(L695="A", 4, L695="B", 3, L695="C", 2, L695="D", 1)</f>
        <v>4</v>
      </c>
    </row>
    <row r="697" spans="1:13" hidden="1" x14ac:dyDescent="0.2">
      <c r="A697">
        <v>2023</v>
      </c>
      <c r="B697">
        <v>80209</v>
      </c>
      <c r="C697" t="s">
        <v>86</v>
      </c>
      <c r="D697" t="s">
        <v>102</v>
      </c>
      <c r="E697" t="s">
        <v>15</v>
      </c>
      <c r="F697" t="s">
        <v>16</v>
      </c>
      <c r="G697">
        <v>6.5</v>
      </c>
      <c r="H697" s="1">
        <v>27061</v>
      </c>
      <c r="I697" t="s">
        <v>17</v>
      </c>
      <c r="J697">
        <v>80209</v>
      </c>
      <c r="K697" t="s">
        <v>17</v>
      </c>
      <c r="L697" s="3" t="s">
        <v>18</v>
      </c>
      <c r="M697" cm="1">
        <f t="array" ref="M697">_xlfn.IFS(L696="A", 4, L696="B", 3, L696="C", 2, L696="D", 1)</f>
        <v>1</v>
      </c>
    </row>
    <row r="698" spans="1:13" hidden="1" x14ac:dyDescent="0.2">
      <c r="A698">
        <v>2023</v>
      </c>
      <c r="B698">
        <v>80209</v>
      </c>
      <c r="C698" t="s">
        <v>86</v>
      </c>
      <c r="D698" t="s">
        <v>102</v>
      </c>
      <c r="E698" t="s">
        <v>15</v>
      </c>
      <c r="F698" t="s">
        <v>16</v>
      </c>
      <c r="G698">
        <v>6.5</v>
      </c>
      <c r="H698" s="1">
        <v>27061</v>
      </c>
      <c r="I698" t="s">
        <v>36</v>
      </c>
      <c r="J698">
        <v>80209</v>
      </c>
      <c r="K698" t="s">
        <v>36</v>
      </c>
      <c r="L698" s="3" t="s">
        <v>18</v>
      </c>
      <c r="M698" cm="1">
        <f t="array" ref="M698">_xlfn.IFS(L697="A", 4, L697="B", 3, L697="C", 2, L697="D", 1)</f>
        <v>4</v>
      </c>
    </row>
    <row r="699" spans="1:13" hidden="1" x14ac:dyDescent="0.2">
      <c r="A699">
        <v>2023</v>
      </c>
      <c r="B699">
        <v>80209</v>
      </c>
      <c r="C699" t="s">
        <v>86</v>
      </c>
      <c r="D699" t="s">
        <v>102</v>
      </c>
      <c r="E699" t="s">
        <v>15</v>
      </c>
      <c r="F699" t="s">
        <v>16</v>
      </c>
      <c r="G699">
        <v>6.5</v>
      </c>
      <c r="H699" s="1">
        <v>27061</v>
      </c>
      <c r="I699" t="s">
        <v>37</v>
      </c>
      <c r="J699">
        <v>80209</v>
      </c>
      <c r="K699" t="s">
        <v>37</v>
      </c>
      <c r="L699" s="3" t="s">
        <v>18</v>
      </c>
      <c r="M699" cm="1">
        <f t="array" ref="M699">_xlfn.IFS(L698="A", 4, L698="B", 3, L698="C", 2, L698="D", 1)</f>
        <v>4</v>
      </c>
    </row>
    <row r="700" spans="1:13" hidden="1" x14ac:dyDescent="0.2">
      <c r="A700">
        <v>2023</v>
      </c>
      <c r="B700">
        <v>80209</v>
      </c>
      <c r="C700" t="s">
        <v>13</v>
      </c>
      <c r="D700" t="s">
        <v>103</v>
      </c>
      <c r="E700" t="s">
        <v>15</v>
      </c>
      <c r="F700" t="s">
        <v>16</v>
      </c>
      <c r="G700">
        <v>18.100000000000001</v>
      </c>
      <c r="H700" s="1">
        <v>27061</v>
      </c>
      <c r="I700" t="s">
        <v>32</v>
      </c>
      <c r="J700">
        <v>80209</v>
      </c>
      <c r="K700" t="s">
        <v>32</v>
      </c>
      <c r="L700" s="3" t="s">
        <v>23</v>
      </c>
      <c r="M700" cm="1">
        <f t="array" ref="M700">_xlfn.IFS(L699="A", 4, L699="B", 3, L699="C", 2, L699="D", 1)</f>
        <v>4</v>
      </c>
    </row>
    <row r="701" spans="1:13" hidden="1" x14ac:dyDescent="0.2">
      <c r="A701">
        <v>2023</v>
      </c>
      <c r="B701">
        <v>80209</v>
      </c>
      <c r="C701" t="s">
        <v>13</v>
      </c>
      <c r="D701" t="s">
        <v>103</v>
      </c>
      <c r="E701" t="s">
        <v>15</v>
      </c>
      <c r="F701" t="s">
        <v>16</v>
      </c>
      <c r="G701">
        <v>18.100000000000001</v>
      </c>
      <c r="H701" s="1">
        <v>27061</v>
      </c>
      <c r="I701" t="s">
        <v>17</v>
      </c>
      <c r="J701">
        <v>80209</v>
      </c>
      <c r="K701" t="s">
        <v>17</v>
      </c>
      <c r="L701" s="3" t="s">
        <v>18</v>
      </c>
      <c r="M701" cm="1">
        <f t="array" ref="M701">_xlfn.IFS(L700="A", 4, L700="B", 3, L700="C", 2, L700="D", 1)</f>
        <v>1</v>
      </c>
    </row>
    <row r="702" spans="1:13" hidden="1" x14ac:dyDescent="0.2">
      <c r="A702">
        <v>2023</v>
      </c>
      <c r="B702">
        <v>80209</v>
      </c>
      <c r="C702" t="s">
        <v>13</v>
      </c>
      <c r="D702" t="s">
        <v>103</v>
      </c>
      <c r="E702" t="s">
        <v>15</v>
      </c>
      <c r="F702" t="s">
        <v>16</v>
      </c>
      <c r="G702">
        <v>18.100000000000001</v>
      </c>
      <c r="H702" s="1">
        <v>27061</v>
      </c>
      <c r="I702" t="s">
        <v>36</v>
      </c>
      <c r="J702">
        <v>80209</v>
      </c>
      <c r="K702" t="s">
        <v>36</v>
      </c>
      <c r="L702" s="3" t="s">
        <v>18</v>
      </c>
      <c r="M702" cm="1">
        <f t="array" ref="M702">_xlfn.IFS(L701="A", 4, L701="B", 3, L701="C", 2, L701="D", 1)</f>
        <v>4</v>
      </c>
    </row>
    <row r="703" spans="1:13" hidden="1" x14ac:dyDescent="0.2">
      <c r="A703">
        <v>2023</v>
      </c>
      <c r="B703">
        <v>80209</v>
      </c>
      <c r="C703" t="s">
        <v>13</v>
      </c>
      <c r="D703" t="s">
        <v>103</v>
      </c>
      <c r="E703" t="s">
        <v>15</v>
      </c>
      <c r="F703" t="s">
        <v>16</v>
      </c>
      <c r="G703">
        <v>18.100000000000001</v>
      </c>
      <c r="H703" s="1">
        <v>27061</v>
      </c>
      <c r="I703" t="s">
        <v>37</v>
      </c>
      <c r="J703">
        <v>80209</v>
      </c>
      <c r="K703" t="s">
        <v>37</v>
      </c>
      <c r="L703" s="3" t="s">
        <v>18</v>
      </c>
      <c r="M703" cm="1">
        <f t="array" ref="M703">_xlfn.IFS(L702="A", 4, L702="B", 3, L702="C", 2, L702="D", 1)</f>
        <v>4</v>
      </c>
    </row>
    <row r="704" spans="1:13" hidden="1" x14ac:dyDescent="0.2">
      <c r="A704">
        <v>2023</v>
      </c>
      <c r="B704">
        <v>80209</v>
      </c>
      <c r="C704" t="s">
        <v>94</v>
      </c>
      <c r="D704" t="s">
        <v>104</v>
      </c>
      <c r="E704" t="s">
        <v>15</v>
      </c>
      <c r="F704" t="s">
        <v>16</v>
      </c>
      <c r="G704">
        <v>8.5</v>
      </c>
      <c r="H704" s="1">
        <v>27061</v>
      </c>
      <c r="I704" t="s">
        <v>32</v>
      </c>
      <c r="J704">
        <v>80209</v>
      </c>
      <c r="K704" t="s">
        <v>32</v>
      </c>
      <c r="L704" s="3" t="s">
        <v>23</v>
      </c>
      <c r="M704" cm="1">
        <f t="array" ref="M704">_xlfn.IFS(L703="A", 4, L703="B", 3, L703="C", 2, L703="D", 1)</f>
        <v>4</v>
      </c>
    </row>
    <row r="705" spans="1:13" hidden="1" x14ac:dyDescent="0.2">
      <c r="A705">
        <v>2023</v>
      </c>
      <c r="B705">
        <v>80209</v>
      </c>
      <c r="C705" t="s">
        <v>94</v>
      </c>
      <c r="D705" t="s">
        <v>104</v>
      </c>
      <c r="E705" t="s">
        <v>15</v>
      </c>
      <c r="F705" t="s">
        <v>16</v>
      </c>
      <c r="G705">
        <v>8.5</v>
      </c>
      <c r="H705" s="1">
        <v>27061</v>
      </c>
      <c r="I705" t="s">
        <v>17</v>
      </c>
      <c r="J705">
        <v>80209</v>
      </c>
      <c r="K705" t="s">
        <v>17</v>
      </c>
      <c r="L705" s="3" t="s">
        <v>18</v>
      </c>
      <c r="M705" cm="1">
        <f t="array" ref="M705">_xlfn.IFS(L704="A", 4, L704="B", 3, L704="C", 2, L704="D", 1)</f>
        <v>1</v>
      </c>
    </row>
    <row r="706" spans="1:13" hidden="1" x14ac:dyDescent="0.2">
      <c r="A706">
        <v>2023</v>
      </c>
      <c r="B706">
        <v>80209</v>
      </c>
      <c r="C706" t="s">
        <v>94</v>
      </c>
      <c r="D706" t="s">
        <v>104</v>
      </c>
      <c r="E706" t="s">
        <v>15</v>
      </c>
      <c r="F706" t="s">
        <v>16</v>
      </c>
      <c r="G706">
        <v>8.5</v>
      </c>
      <c r="H706" s="1">
        <v>27061</v>
      </c>
      <c r="I706" t="s">
        <v>36</v>
      </c>
      <c r="J706">
        <v>80209</v>
      </c>
      <c r="K706" t="s">
        <v>36</v>
      </c>
      <c r="L706" s="3" t="s">
        <v>18</v>
      </c>
      <c r="M706" cm="1">
        <f t="array" ref="M706">_xlfn.IFS(L705="A", 4, L705="B", 3, L705="C", 2, L705="D", 1)</f>
        <v>4</v>
      </c>
    </row>
    <row r="707" spans="1:13" hidden="1" x14ac:dyDescent="0.2">
      <c r="A707">
        <v>2023</v>
      </c>
      <c r="B707">
        <v>80209</v>
      </c>
      <c r="C707" t="s">
        <v>94</v>
      </c>
      <c r="D707" t="s">
        <v>104</v>
      </c>
      <c r="E707" t="s">
        <v>15</v>
      </c>
      <c r="F707" t="s">
        <v>16</v>
      </c>
      <c r="G707">
        <v>8.5</v>
      </c>
      <c r="H707" s="1">
        <v>27061</v>
      </c>
      <c r="I707" t="s">
        <v>37</v>
      </c>
      <c r="J707">
        <v>80209</v>
      </c>
      <c r="K707" t="s">
        <v>37</v>
      </c>
      <c r="L707" s="3" t="s">
        <v>18</v>
      </c>
      <c r="M707" cm="1">
        <f t="array" ref="M707">_xlfn.IFS(L706="A", 4, L706="B", 3, L706="C", 2, L706="D", 1)</f>
        <v>4</v>
      </c>
    </row>
    <row r="708" spans="1:13" hidden="1" x14ac:dyDescent="0.2">
      <c r="A708">
        <v>2023</v>
      </c>
      <c r="B708">
        <v>80209</v>
      </c>
      <c r="C708" t="s">
        <v>86</v>
      </c>
      <c r="D708" t="s">
        <v>105</v>
      </c>
      <c r="E708" t="s">
        <v>15</v>
      </c>
      <c r="F708" t="s">
        <v>16</v>
      </c>
      <c r="G708">
        <v>1.7</v>
      </c>
      <c r="H708" s="1">
        <v>27061</v>
      </c>
      <c r="I708" t="s">
        <v>32</v>
      </c>
      <c r="J708">
        <v>80209</v>
      </c>
      <c r="K708" t="s">
        <v>32</v>
      </c>
      <c r="L708" s="3" t="s">
        <v>23</v>
      </c>
      <c r="M708" cm="1">
        <f t="array" ref="M708">_xlfn.IFS(L707="A", 4, L707="B", 3, L707="C", 2, L707="D", 1)</f>
        <v>4</v>
      </c>
    </row>
    <row r="709" spans="1:13" hidden="1" x14ac:dyDescent="0.2">
      <c r="A709">
        <v>2023</v>
      </c>
      <c r="B709">
        <v>80209</v>
      </c>
      <c r="C709" t="s">
        <v>86</v>
      </c>
      <c r="D709" t="s">
        <v>105</v>
      </c>
      <c r="E709" t="s">
        <v>15</v>
      </c>
      <c r="F709" t="s">
        <v>16</v>
      </c>
      <c r="G709">
        <v>1.7</v>
      </c>
      <c r="H709" s="1">
        <v>27061</v>
      </c>
      <c r="I709" t="s">
        <v>17</v>
      </c>
      <c r="J709">
        <v>80209</v>
      </c>
      <c r="K709" t="s">
        <v>17</v>
      </c>
      <c r="L709" s="3" t="s">
        <v>18</v>
      </c>
      <c r="M709" cm="1">
        <f t="array" ref="M709">_xlfn.IFS(L708="A", 4, L708="B", 3, L708="C", 2, L708="D", 1)</f>
        <v>1</v>
      </c>
    </row>
    <row r="710" spans="1:13" hidden="1" x14ac:dyDescent="0.2">
      <c r="A710">
        <v>2023</v>
      </c>
      <c r="B710">
        <v>80209</v>
      </c>
      <c r="C710" t="s">
        <v>86</v>
      </c>
      <c r="D710" t="s">
        <v>105</v>
      </c>
      <c r="E710" t="s">
        <v>15</v>
      </c>
      <c r="F710" t="s">
        <v>16</v>
      </c>
      <c r="G710">
        <v>1.7</v>
      </c>
      <c r="H710" s="1">
        <v>27061</v>
      </c>
      <c r="I710" t="s">
        <v>36</v>
      </c>
      <c r="J710">
        <v>80209</v>
      </c>
      <c r="K710" t="s">
        <v>36</v>
      </c>
      <c r="L710" s="3" t="s">
        <v>18</v>
      </c>
      <c r="M710" cm="1">
        <f t="array" ref="M710">_xlfn.IFS(L709="A", 4, L709="B", 3, L709="C", 2, L709="D", 1)</f>
        <v>4</v>
      </c>
    </row>
    <row r="711" spans="1:13" hidden="1" x14ac:dyDescent="0.2">
      <c r="A711">
        <v>2023</v>
      </c>
      <c r="B711">
        <v>80209</v>
      </c>
      <c r="C711" t="s">
        <v>86</v>
      </c>
      <c r="D711" t="s">
        <v>105</v>
      </c>
      <c r="E711" t="s">
        <v>15</v>
      </c>
      <c r="F711" t="s">
        <v>16</v>
      </c>
      <c r="G711">
        <v>1.7</v>
      </c>
      <c r="H711" s="1">
        <v>27061</v>
      </c>
      <c r="I711" t="s">
        <v>37</v>
      </c>
      <c r="J711">
        <v>80209</v>
      </c>
      <c r="K711" t="s">
        <v>37</v>
      </c>
      <c r="L711" s="3" t="s">
        <v>18</v>
      </c>
      <c r="M711" cm="1">
        <f t="array" ref="M711">_xlfn.IFS(L710="A", 4, L710="B", 3, L710="C", 2, L710="D", 1)</f>
        <v>4</v>
      </c>
    </row>
    <row r="712" spans="1:13" hidden="1" x14ac:dyDescent="0.2">
      <c r="A712">
        <v>2022</v>
      </c>
      <c r="B712">
        <v>80209</v>
      </c>
      <c r="C712" t="s">
        <v>77</v>
      </c>
      <c r="D712" t="s">
        <v>106</v>
      </c>
      <c r="E712" t="s">
        <v>15</v>
      </c>
      <c r="F712" t="s">
        <v>16</v>
      </c>
      <c r="G712">
        <v>24.4</v>
      </c>
      <c r="H712" s="1">
        <v>27061</v>
      </c>
      <c r="I712" t="s">
        <v>32</v>
      </c>
      <c r="J712">
        <v>80209</v>
      </c>
      <c r="K712" t="s">
        <v>32</v>
      </c>
      <c r="L712" s="3" t="s">
        <v>23</v>
      </c>
      <c r="M712" cm="1">
        <f t="array" ref="M712">_xlfn.IFS(L711="A", 4, L711="B", 3, L711="C", 2, L711="D", 1)</f>
        <v>4</v>
      </c>
    </row>
    <row r="713" spans="1:13" hidden="1" x14ac:dyDescent="0.2">
      <c r="A713">
        <v>2022</v>
      </c>
      <c r="B713">
        <v>80209</v>
      </c>
      <c r="C713" t="s">
        <v>77</v>
      </c>
      <c r="D713" t="s">
        <v>106</v>
      </c>
      <c r="E713" t="s">
        <v>15</v>
      </c>
      <c r="F713" t="s">
        <v>16</v>
      </c>
      <c r="G713">
        <v>24.4</v>
      </c>
      <c r="H713" s="1">
        <v>27061</v>
      </c>
      <c r="I713" t="s">
        <v>17</v>
      </c>
      <c r="J713">
        <v>80209</v>
      </c>
      <c r="K713" t="s">
        <v>17</v>
      </c>
      <c r="L713" s="3" t="s">
        <v>18</v>
      </c>
      <c r="M713" cm="1">
        <f t="array" ref="M713">_xlfn.IFS(L712="A", 4, L712="B", 3, L712="C", 2, L712="D", 1)</f>
        <v>1</v>
      </c>
    </row>
    <row r="714" spans="1:13" hidden="1" x14ac:dyDescent="0.2">
      <c r="A714">
        <v>2022</v>
      </c>
      <c r="B714">
        <v>80209</v>
      </c>
      <c r="C714" t="s">
        <v>77</v>
      </c>
      <c r="D714" t="s">
        <v>106</v>
      </c>
      <c r="E714" t="s">
        <v>15</v>
      </c>
      <c r="F714" t="s">
        <v>16</v>
      </c>
      <c r="G714">
        <v>24.4</v>
      </c>
      <c r="H714" s="1">
        <v>27061</v>
      </c>
      <c r="I714" t="s">
        <v>36</v>
      </c>
      <c r="J714">
        <v>80209</v>
      </c>
      <c r="K714" t="s">
        <v>36</v>
      </c>
      <c r="L714" s="3" t="s">
        <v>18</v>
      </c>
      <c r="M714" cm="1">
        <f t="array" ref="M714">_xlfn.IFS(L713="A", 4, L713="B", 3, L713="C", 2, L713="D", 1)</f>
        <v>4</v>
      </c>
    </row>
    <row r="715" spans="1:13" hidden="1" x14ac:dyDescent="0.2">
      <c r="A715">
        <v>2022</v>
      </c>
      <c r="B715">
        <v>80209</v>
      </c>
      <c r="C715" t="s">
        <v>77</v>
      </c>
      <c r="D715" t="s">
        <v>106</v>
      </c>
      <c r="E715" t="s">
        <v>15</v>
      </c>
      <c r="F715" t="s">
        <v>16</v>
      </c>
      <c r="G715">
        <v>24.4</v>
      </c>
      <c r="H715" s="1">
        <v>27061</v>
      </c>
      <c r="I715" t="s">
        <v>37</v>
      </c>
      <c r="J715">
        <v>80209</v>
      </c>
      <c r="K715" t="s">
        <v>37</v>
      </c>
      <c r="L715" s="3" t="s">
        <v>18</v>
      </c>
      <c r="M715" cm="1">
        <f t="array" ref="M715">_xlfn.IFS(L714="A", 4, L714="B", 3, L714="C", 2, L714="D", 1)</f>
        <v>4</v>
      </c>
    </row>
    <row r="716" spans="1:13" hidden="1" x14ac:dyDescent="0.2">
      <c r="A716">
        <v>2023</v>
      </c>
      <c r="B716">
        <v>80209</v>
      </c>
      <c r="C716" t="s">
        <v>13</v>
      </c>
      <c r="D716" t="s">
        <v>107</v>
      </c>
      <c r="E716" t="s">
        <v>15</v>
      </c>
      <c r="F716" t="s">
        <v>16</v>
      </c>
      <c r="G716">
        <v>1.9</v>
      </c>
      <c r="H716" s="1">
        <v>27061</v>
      </c>
      <c r="I716" t="s">
        <v>32</v>
      </c>
      <c r="J716">
        <v>80209</v>
      </c>
      <c r="K716" t="s">
        <v>32</v>
      </c>
      <c r="L716" s="3" t="s">
        <v>23</v>
      </c>
      <c r="M716" cm="1">
        <f t="array" ref="M716">_xlfn.IFS(L715="A", 4, L715="B", 3, L715="C", 2, L715="D", 1)</f>
        <v>4</v>
      </c>
    </row>
    <row r="717" spans="1:13" hidden="1" x14ac:dyDescent="0.2">
      <c r="A717">
        <v>2023</v>
      </c>
      <c r="B717">
        <v>80209</v>
      </c>
      <c r="C717" t="s">
        <v>13</v>
      </c>
      <c r="D717" t="s">
        <v>107</v>
      </c>
      <c r="E717" t="s">
        <v>15</v>
      </c>
      <c r="F717" t="s">
        <v>16</v>
      </c>
      <c r="G717">
        <v>1.9</v>
      </c>
      <c r="H717" s="1">
        <v>27061</v>
      </c>
      <c r="I717" t="s">
        <v>17</v>
      </c>
      <c r="J717">
        <v>80209</v>
      </c>
      <c r="K717" t="s">
        <v>17</v>
      </c>
      <c r="L717" s="3" t="s">
        <v>18</v>
      </c>
      <c r="M717" cm="1">
        <f t="array" ref="M717">_xlfn.IFS(L716="A", 4, L716="B", 3, L716="C", 2, L716="D", 1)</f>
        <v>1</v>
      </c>
    </row>
    <row r="718" spans="1:13" hidden="1" x14ac:dyDescent="0.2">
      <c r="A718">
        <v>2023</v>
      </c>
      <c r="B718">
        <v>80209</v>
      </c>
      <c r="C718" t="s">
        <v>13</v>
      </c>
      <c r="D718" t="s">
        <v>107</v>
      </c>
      <c r="E718" t="s">
        <v>15</v>
      </c>
      <c r="F718" t="s">
        <v>16</v>
      </c>
      <c r="G718">
        <v>1.9</v>
      </c>
      <c r="H718" s="1">
        <v>27061</v>
      </c>
      <c r="I718" t="s">
        <v>36</v>
      </c>
      <c r="J718">
        <v>80209</v>
      </c>
      <c r="K718" t="s">
        <v>36</v>
      </c>
      <c r="L718" s="3" t="s">
        <v>18</v>
      </c>
      <c r="M718" cm="1">
        <f t="array" ref="M718">_xlfn.IFS(L717="A", 4, L717="B", 3, L717="C", 2, L717="D", 1)</f>
        <v>4</v>
      </c>
    </row>
    <row r="719" spans="1:13" hidden="1" x14ac:dyDescent="0.2">
      <c r="A719">
        <v>2023</v>
      </c>
      <c r="B719">
        <v>80209</v>
      </c>
      <c r="C719" t="s">
        <v>13</v>
      </c>
      <c r="D719" t="s">
        <v>107</v>
      </c>
      <c r="E719" t="s">
        <v>15</v>
      </c>
      <c r="F719" t="s">
        <v>16</v>
      </c>
      <c r="G719">
        <v>1.9</v>
      </c>
      <c r="H719" s="1">
        <v>27061</v>
      </c>
      <c r="I719" t="s">
        <v>37</v>
      </c>
      <c r="J719">
        <v>80209</v>
      </c>
      <c r="K719" t="s">
        <v>37</v>
      </c>
      <c r="L719" s="3" t="s">
        <v>18</v>
      </c>
      <c r="M719" cm="1">
        <f t="array" ref="M719">_xlfn.IFS(L718="A", 4, L718="B", 3, L718="C", 2, L718="D", 1)</f>
        <v>4</v>
      </c>
    </row>
    <row r="720" spans="1:13" hidden="1" x14ac:dyDescent="0.2">
      <c r="A720">
        <v>2022</v>
      </c>
      <c r="B720">
        <v>80209</v>
      </c>
      <c r="C720" t="s">
        <v>13</v>
      </c>
      <c r="D720" t="s">
        <v>108</v>
      </c>
      <c r="E720" t="s">
        <v>15</v>
      </c>
      <c r="F720" t="s">
        <v>16</v>
      </c>
      <c r="G720">
        <v>4.8</v>
      </c>
      <c r="H720" s="1">
        <v>27061</v>
      </c>
      <c r="I720" t="s">
        <v>32</v>
      </c>
      <c r="J720">
        <v>80209</v>
      </c>
      <c r="K720" t="s">
        <v>32</v>
      </c>
      <c r="L720" s="3" t="s">
        <v>23</v>
      </c>
      <c r="M720" cm="1">
        <f t="array" ref="M720">_xlfn.IFS(L719="A", 4, L719="B", 3, L719="C", 2, L719="D", 1)</f>
        <v>4</v>
      </c>
    </row>
    <row r="721" spans="1:13" hidden="1" x14ac:dyDescent="0.2">
      <c r="A721">
        <v>2022</v>
      </c>
      <c r="B721">
        <v>80209</v>
      </c>
      <c r="C721" t="s">
        <v>13</v>
      </c>
      <c r="D721" t="s">
        <v>108</v>
      </c>
      <c r="E721" t="s">
        <v>15</v>
      </c>
      <c r="F721" t="s">
        <v>16</v>
      </c>
      <c r="G721">
        <v>4.8</v>
      </c>
      <c r="H721" s="1">
        <v>27061</v>
      </c>
      <c r="I721" t="s">
        <v>17</v>
      </c>
      <c r="J721">
        <v>80209</v>
      </c>
      <c r="K721" t="s">
        <v>17</v>
      </c>
      <c r="L721" s="3" t="s">
        <v>18</v>
      </c>
      <c r="M721" cm="1">
        <f t="array" ref="M721">_xlfn.IFS(L720="A", 4, L720="B", 3, L720="C", 2, L720="D", 1)</f>
        <v>1</v>
      </c>
    </row>
    <row r="722" spans="1:13" hidden="1" x14ac:dyDescent="0.2">
      <c r="A722">
        <v>2022</v>
      </c>
      <c r="B722">
        <v>80209</v>
      </c>
      <c r="C722" t="s">
        <v>13</v>
      </c>
      <c r="D722" t="s">
        <v>108</v>
      </c>
      <c r="E722" t="s">
        <v>15</v>
      </c>
      <c r="F722" t="s">
        <v>16</v>
      </c>
      <c r="G722">
        <v>4.8</v>
      </c>
      <c r="H722" s="1">
        <v>27061</v>
      </c>
      <c r="I722" t="s">
        <v>36</v>
      </c>
      <c r="J722">
        <v>80209</v>
      </c>
      <c r="K722" t="s">
        <v>36</v>
      </c>
      <c r="L722" s="3" t="s">
        <v>18</v>
      </c>
      <c r="M722" cm="1">
        <f t="array" ref="M722">_xlfn.IFS(L721="A", 4, L721="B", 3, L721="C", 2, L721="D", 1)</f>
        <v>4</v>
      </c>
    </row>
    <row r="723" spans="1:13" hidden="1" x14ac:dyDescent="0.2">
      <c r="A723">
        <v>2022</v>
      </c>
      <c r="B723">
        <v>80209</v>
      </c>
      <c r="C723" t="s">
        <v>13</v>
      </c>
      <c r="D723" t="s">
        <v>108</v>
      </c>
      <c r="E723" t="s">
        <v>15</v>
      </c>
      <c r="F723" t="s">
        <v>16</v>
      </c>
      <c r="G723">
        <v>4.8</v>
      </c>
      <c r="H723" s="1">
        <v>27061</v>
      </c>
      <c r="I723" t="s">
        <v>37</v>
      </c>
      <c r="J723">
        <v>80209</v>
      </c>
      <c r="K723" t="s">
        <v>37</v>
      </c>
      <c r="L723" s="3" t="s">
        <v>18</v>
      </c>
      <c r="M723" cm="1">
        <f t="array" ref="M723">_xlfn.IFS(L722="A", 4, L722="B", 3, L722="C", 2, L722="D", 1)</f>
        <v>4</v>
      </c>
    </row>
    <row r="724" spans="1:13" hidden="1" x14ac:dyDescent="0.2">
      <c r="A724">
        <v>2023</v>
      </c>
      <c r="B724">
        <v>80209</v>
      </c>
      <c r="C724" t="s">
        <v>86</v>
      </c>
      <c r="D724" t="s">
        <v>109</v>
      </c>
      <c r="E724" t="s">
        <v>15</v>
      </c>
      <c r="F724" t="s">
        <v>16</v>
      </c>
      <c r="G724">
        <v>2.4</v>
      </c>
      <c r="H724" s="1">
        <v>27061</v>
      </c>
      <c r="I724" t="s">
        <v>32</v>
      </c>
      <c r="J724">
        <v>80209</v>
      </c>
      <c r="K724" t="s">
        <v>32</v>
      </c>
      <c r="L724" s="3" t="s">
        <v>23</v>
      </c>
      <c r="M724" cm="1">
        <f t="array" ref="M724">_xlfn.IFS(L723="A", 4, L723="B", 3, L723="C", 2, L723="D", 1)</f>
        <v>4</v>
      </c>
    </row>
    <row r="725" spans="1:13" hidden="1" x14ac:dyDescent="0.2">
      <c r="A725">
        <v>2023</v>
      </c>
      <c r="B725">
        <v>80209</v>
      </c>
      <c r="C725" t="s">
        <v>86</v>
      </c>
      <c r="D725" t="s">
        <v>109</v>
      </c>
      <c r="E725" t="s">
        <v>15</v>
      </c>
      <c r="F725" t="s">
        <v>16</v>
      </c>
      <c r="G725">
        <v>2.4</v>
      </c>
      <c r="H725" s="1">
        <v>27061</v>
      </c>
      <c r="I725" t="s">
        <v>17</v>
      </c>
      <c r="J725">
        <v>80209</v>
      </c>
      <c r="K725" t="s">
        <v>17</v>
      </c>
      <c r="L725" s="3" t="s">
        <v>18</v>
      </c>
      <c r="M725" cm="1">
        <f t="array" ref="M725">_xlfn.IFS(L724="A", 4, L724="B", 3, L724="C", 2, L724="D", 1)</f>
        <v>1</v>
      </c>
    </row>
    <row r="726" spans="1:13" hidden="1" x14ac:dyDescent="0.2">
      <c r="A726">
        <v>2023</v>
      </c>
      <c r="B726">
        <v>80209</v>
      </c>
      <c r="C726" t="s">
        <v>86</v>
      </c>
      <c r="D726" t="s">
        <v>109</v>
      </c>
      <c r="E726" t="s">
        <v>15</v>
      </c>
      <c r="F726" t="s">
        <v>16</v>
      </c>
      <c r="G726">
        <v>2.4</v>
      </c>
      <c r="H726" s="1">
        <v>27061</v>
      </c>
      <c r="I726" t="s">
        <v>36</v>
      </c>
      <c r="J726">
        <v>80209</v>
      </c>
      <c r="K726" t="s">
        <v>36</v>
      </c>
      <c r="L726" s="3" t="s">
        <v>18</v>
      </c>
      <c r="M726" cm="1">
        <f t="array" ref="M726">_xlfn.IFS(L725="A", 4, L725="B", 3, L725="C", 2, L725="D", 1)</f>
        <v>4</v>
      </c>
    </row>
    <row r="727" spans="1:13" hidden="1" x14ac:dyDescent="0.2">
      <c r="A727">
        <v>2023</v>
      </c>
      <c r="B727">
        <v>80209</v>
      </c>
      <c r="C727" t="s">
        <v>86</v>
      </c>
      <c r="D727" t="s">
        <v>109</v>
      </c>
      <c r="E727" t="s">
        <v>15</v>
      </c>
      <c r="F727" t="s">
        <v>16</v>
      </c>
      <c r="G727">
        <v>2.4</v>
      </c>
      <c r="H727" s="1">
        <v>27061</v>
      </c>
      <c r="I727" t="s">
        <v>37</v>
      </c>
      <c r="J727">
        <v>80209</v>
      </c>
      <c r="K727" t="s">
        <v>37</v>
      </c>
      <c r="L727" s="3" t="s">
        <v>18</v>
      </c>
      <c r="M727" cm="1">
        <f t="array" ref="M727">_xlfn.IFS(L726="A", 4, L726="B", 3, L726="C", 2, L726="D", 1)</f>
        <v>4</v>
      </c>
    </row>
    <row r="728" spans="1:13" hidden="1" x14ac:dyDescent="0.2">
      <c r="A728">
        <v>2023</v>
      </c>
      <c r="B728">
        <v>80210</v>
      </c>
      <c r="C728" t="s">
        <v>74</v>
      </c>
      <c r="D728" t="s">
        <v>75</v>
      </c>
      <c r="E728" t="s">
        <v>15</v>
      </c>
      <c r="F728" t="s">
        <v>16</v>
      </c>
      <c r="G728">
        <v>7.2</v>
      </c>
      <c r="H728" s="1">
        <v>39394</v>
      </c>
      <c r="I728" t="s">
        <v>38</v>
      </c>
      <c r="J728">
        <v>80210</v>
      </c>
      <c r="K728" t="s">
        <v>38</v>
      </c>
      <c r="L728" s="3" t="s">
        <v>21</v>
      </c>
      <c r="M728" cm="1">
        <f t="array" ref="M728">_xlfn.IFS(L727="A", 4, L727="B", 3, L727="C", 2, L727="D", 1)</f>
        <v>4</v>
      </c>
    </row>
    <row r="729" spans="1:13" hidden="1" x14ac:dyDescent="0.2">
      <c r="A729">
        <v>2023</v>
      </c>
      <c r="B729">
        <v>80210</v>
      </c>
      <c r="C729" t="s">
        <v>74</v>
      </c>
      <c r="D729" t="s">
        <v>75</v>
      </c>
      <c r="E729" t="s">
        <v>15</v>
      </c>
      <c r="F729" t="s">
        <v>16</v>
      </c>
      <c r="G729">
        <v>7.2</v>
      </c>
      <c r="H729" s="1">
        <v>39394</v>
      </c>
      <c r="I729" t="s">
        <v>39</v>
      </c>
      <c r="J729">
        <v>80210</v>
      </c>
      <c r="K729" t="s">
        <v>39</v>
      </c>
      <c r="L729" s="3" t="s">
        <v>21</v>
      </c>
      <c r="M729" cm="1">
        <f t="array" ref="M729">_xlfn.IFS(L728="A", 4, L728="B", 3, L728="C", 2, L728="D", 1)</f>
        <v>2</v>
      </c>
    </row>
    <row r="730" spans="1:13" hidden="1" x14ac:dyDescent="0.2">
      <c r="A730">
        <v>2023</v>
      </c>
      <c r="B730">
        <v>80210</v>
      </c>
      <c r="C730" t="s">
        <v>74</v>
      </c>
      <c r="D730" t="s">
        <v>75</v>
      </c>
      <c r="E730" t="s">
        <v>15</v>
      </c>
      <c r="F730" t="s">
        <v>16</v>
      </c>
      <c r="G730">
        <v>7.2</v>
      </c>
      <c r="H730" s="1">
        <v>39394</v>
      </c>
      <c r="I730" t="s">
        <v>40</v>
      </c>
      <c r="J730">
        <v>80210</v>
      </c>
      <c r="K730" t="s">
        <v>40</v>
      </c>
      <c r="L730" s="3" t="s">
        <v>21</v>
      </c>
      <c r="M730" cm="1">
        <f t="array" ref="M730">_xlfn.IFS(L729="A", 4, L729="B", 3, L729="C", 2, L729="D", 1)</f>
        <v>2</v>
      </c>
    </row>
    <row r="731" spans="1:13" hidden="1" x14ac:dyDescent="0.2">
      <c r="A731">
        <v>2023</v>
      </c>
      <c r="B731">
        <v>80210</v>
      </c>
      <c r="C731" t="s">
        <v>74</v>
      </c>
      <c r="D731" t="s">
        <v>75</v>
      </c>
      <c r="E731" t="s">
        <v>15</v>
      </c>
      <c r="F731" t="s">
        <v>16</v>
      </c>
      <c r="G731">
        <v>7.2</v>
      </c>
      <c r="H731" s="1">
        <v>39394</v>
      </c>
      <c r="I731" t="s">
        <v>41</v>
      </c>
      <c r="J731">
        <v>80210</v>
      </c>
      <c r="K731" t="s">
        <v>41</v>
      </c>
      <c r="L731" s="3" t="s">
        <v>21</v>
      </c>
      <c r="M731" cm="1">
        <f t="array" ref="M731">_xlfn.IFS(L730="A", 4, L730="B", 3, L730="C", 2, L730="D", 1)</f>
        <v>2</v>
      </c>
    </row>
    <row r="732" spans="1:13" hidden="1" x14ac:dyDescent="0.2">
      <c r="A732">
        <v>2023</v>
      </c>
      <c r="B732">
        <v>80210</v>
      </c>
      <c r="C732" t="s">
        <v>74</v>
      </c>
      <c r="D732" t="s">
        <v>75</v>
      </c>
      <c r="E732" t="s">
        <v>15</v>
      </c>
      <c r="F732" t="s">
        <v>16</v>
      </c>
      <c r="G732">
        <v>7.2</v>
      </c>
      <c r="H732" s="1">
        <v>39394</v>
      </c>
      <c r="I732" t="s">
        <v>42</v>
      </c>
      <c r="J732">
        <v>80210</v>
      </c>
      <c r="K732" t="s">
        <v>42</v>
      </c>
      <c r="L732" s="3" t="s">
        <v>18</v>
      </c>
      <c r="M732" cm="1">
        <f t="array" ref="M732">_xlfn.IFS(L731="A", 4, L731="B", 3, L731="C", 2, L731="D", 1)</f>
        <v>2</v>
      </c>
    </row>
    <row r="733" spans="1:13" hidden="1" x14ac:dyDescent="0.2">
      <c r="A733">
        <v>2023</v>
      </c>
      <c r="B733">
        <v>80210</v>
      </c>
      <c r="C733" t="s">
        <v>13</v>
      </c>
      <c r="D733" t="s">
        <v>76</v>
      </c>
      <c r="E733" t="s">
        <v>15</v>
      </c>
      <c r="F733" t="s">
        <v>16</v>
      </c>
      <c r="G733">
        <v>16.7</v>
      </c>
      <c r="H733" s="1">
        <v>39394</v>
      </c>
      <c r="I733" t="s">
        <v>38</v>
      </c>
      <c r="J733">
        <v>80210</v>
      </c>
      <c r="K733" t="s">
        <v>38</v>
      </c>
      <c r="L733" s="3" t="s">
        <v>21</v>
      </c>
      <c r="M733" cm="1">
        <f t="array" ref="M733">_xlfn.IFS(L732="A", 4, L732="B", 3, L732="C", 2, L732="D", 1)</f>
        <v>4</v>
      </c>
    </row>
    <row r="734" spans="1:13" hidden="1" x14ac:dyDescent="0.2">
      <c r="A734">
        <v>2023</v>
      </c>
      <c r="B734">
        <v>80210</v>
      </c>
      <c r="C734" t="s">
        <v>13</v>
      </c>
      <c r="D734" t="s">
        <v>76</v>
      </c>
      <c r="E734" t="s">
        <v>15</v>
      </c>
      <c r="F734" t="s">
        <v>16</v>
      </c>
      <c r="G734">
        <v>16.7</v>
      </c>
      <c r="H734" s="1">
        <v>39394</v>
      </c>
      <c r="I734" t="s">
        <v>39</v>
      </c>
      <c r="J734">
        <v>80210</v>
      </c>
      <c r="K734" t="s">
        <v>39</v>
      </c>
      <c r="L734" s="3" t="s">
        <v>21</v>
      </c>
      <c r="M734" cm="1">
        <f t="array" ref="M734">_xlfn.IFS(L733="A", 4, L733="B", 3, L733="C", 2, L733="D", 1)</f>
        <v>2</v>
      </c>
    </row>
    <row r="735" spans="1:13" hidden="1" x14ac:dyDescent="0.2">
      <c r="A735">
        <v>2023</v>
      </c>
      <c r="B735">
        <v>80210</v>
      </c>
      <c r="C735" t="s">
        <v>13</v>
      </c>
      <c r="D735" t="s">
        <v>76</v>
      </c>
      <c r="E735" t="s">
        <v>15</v>
      </c>
      <c r="F735" t="s">
        <v>16</v>
      </c>
      <c r="G735">
        <v>16.7</v>
      </c>
      <c r="H735" s="1">
        <v>39394</v>
      </c>
      <c r="I735" t="s">
        <v>40</v>
      </c>
      <c r="J735">
        <v>80210</v>
      </c>
      <c r="K735" t="s">
        <v>40</v>
      </c>
      <c r="L735" s="3" t="s">
        <v>21</v>
      </c>
      <c r="M735" cm="1">
        <f t="array" ref="M735">_xlfn.IFS(L734="A", 4, L734="B", 3, L734="C", 2, L734="D", 1)</f>
        <v>2</v>
      </c>
    </row>
    <row r="736" spans="1:13" hidden="1" x14ac:dyDescent="0.2">
      <c r="A736">
        <v>2023</v>
      </c>
      <c r="B736">
        <v>80210</v>
      </c>
      <c r="C736" t="s">
        <v>13</v>
      </c>
      <c r="D736" t="s">
        <v>76</v>
      </c>
      <c r="E736" t="s">
        <v>15</v>
      </c>
      <c r="F736" t="s">
        <v>16</v>
      </c>
      <c r="G736">
        <v>16.7</v>
      </c>
      <c r="H736" s="1">
        <v>39394</v>
      </c>
      <c r="I736" t="s">
        <v>41</v>
      </c>
      <c r="J736">
        <v>80210</v>
      </c>
      <c r="K736" t="s">
        <v>41</v>
      </c>
      <c r="L736" s="3" t="s">
        <v>21</v>
      </c>
      <c r="M736" cm="1">
        <f t="array" ref="M736">_xlfn.IFS(L735="A", 4, L735="B", 3, L735="C", 2, L735="D", 1)</f>
        <v>2</v>
      </c>
    </row>
    <row r="737" spans="1:13" hidden="1" x14ac:dyDescent="0.2">
      <c r="A737">
        <v>2023</v>
      </c>
      <c r="B737">
        <v>80210</v>
      </c>
      <c r="C737" t="s">
        <v>13</v>
      </c>
      <c r="D737" t="s">
        <v>76</v>
      </c>
      <c r="E737" t="s">
        <v>15</v>
      </c>
      <c r="F737" t="s">
        <v>16</v>
      </c>
      <c r="G737">
        <v>16.7</v>
      </c>
      <c r="H737" s="1">
        <v>39394</v>
      </c>
      <c r="I737" t="s">
        <v>42</v>
      </c>
      <c r="J737">
        <v>80210</v>
      </c>
      <c r="K737" t="s">
        <v>42</v>
      </c>
      <c r="L737" s="3" t="s">
        <v>18</v>
      </c>
      <c r="M737" cm="1">
        <f t="array" ref="M737">_xlfn.IFS(L736="A", 4, L736="B", 3, L736="C", 2, L736="D", 1)</f>
        <v>2</v>
      </c>
    </row>
    <row r="738" spans="1:13" hidden="1" x14ac:dyDescent="0.2">
      <c r="A738">
        <v>2023</v>
      </c>
      <c r="B738">
        <v>80210</v>
      </c>
      <c r="C738" t="s">
        <v>77</v>
      </c>
      <c r="D738" t="s">
        <v>78</v>
      </c>
      <c r="E738" t="s">
        <v>15</v>
      </c>
      <c r="F738" t="s">
        <v>16</v>
      </c>
      <c r="G738">
        <v>27.9</v>
      </c>
      <c r="H738" s="1">
        <v>39394</v>
      </c>
      <c r="I738" t="s">
        <v>38</v>
      </c>
      <c r="J738">
        <v>80210</v>
      </c>
      <c r="K738" t="s">
        <v>38</v>
      </c>
      <c r="L738" s="3" t="s">
        <v>21</v>
      </c>
      <c r="M738" cm="1">
        <f t="array" ref="M738">_xlfn.IFS(L737="A", 4, L737="B", 3, L737="C", 2, L737="D", 1)</f>
        <v>4</v>
      </c>
    </row>
    <row r="739" spans="1:13" hidden="1" x14ac:dyDescent="0.2">
      <c r="A739">
        <v>2023</v>
      </c>
      <c r="B739">
        <v>80210</v>
      </c>
      <c r="C739" t="s">
        <v>77</v>
      </c>
      <c r="D739" t="s">
        <v>78</v>
      </c>
      <c r="E739" t="s">
        <v>15</v>
      </c>
      <c r="F739" t="s">
        <v>16</v>
      </c>
      <c r="G739">
        <v>27.9</v>
      </c>
      <c r="H739" s="1">
        <v>39394</v>
      </c>
      <c r="I739" t="s">
        <v>39</v>
      </c>
      <c r="J739">
        <v>80210</v>
      </c>
      <c r="K739" t="s">
        <v>39</v>
      </c>
      <c r="L739" s="3" t="s">
        <v>21</v>
      </c>
      <c r="M739" cm="1">
        <f t="array" ref="M739">_xlfn.IFS(L738="A", 4, L738="B", 3, L738="C", 2, L738="D", 1)</f>
        <v>2</v>
      </c>
    </row>
    <row r="740" spans="1:13" hidden="1" x14ac:dyDescent="0.2">
      <c r="A740">
        <v>2023</v>
      </c>
      <c r="B740">
        <v>80210</v>
      </c>
      <c r="C740" t="s">
        <v>77</v>
      </c>
      <c r="D740" t="s">
        <v>78</v>
      </c>
      <c r="E740" t="s">
        <v>15</v>
      </c>
      <c r="F740" t="s">
        <v>16</v>
      </c>
      <c r="G740">
        <v>27.9</v>
      </c>
      <c r="H740" s="1">
        <v>39394</v>
      </c>
      <c r="I740" t="s">
        <v>40</v>
      </c>
      <c r="J740">
        <v>80210</v>
      </c>
      <c r="K740" t="s">
        <v>40</v>
      </c>
      <c r="L740" s="3" t="s">
        <v>21</v>
      </c>
      <c r="M740" cm="1">
        <f t="array" ref="M740">_xlfn.IFS(L739="A", 4, L739="B", 3, L739="C", 2, L739="D", 1)</f>
        <v>2</v>
      </c>
    </row>
    <row r="741" spans="1:13" hidden="1" x14ac:dyDescent="0.2">
      <c r="A741">
        <v>2023</v>
      </c>
      <c r="B741">
        <v>80210</v>
      </c>
      <c r="C741" t="s">
        <v>77</v>
      </c>
      <c r="D741" t="s">
        <v>78</v>
      </c>
      <c r="E741" t="s">
        <v>15</v>
      </c>
      <c r="F741" t="s">
        <v>16</v>
      </c>
      <c r="G741">
        <v>27.9</v>
      </c>
      <c r="H741" s="1">
        <v>39394</v>
      </c>
      <c r="I741" t="s">
        <v>41</v>
      </c>
      <c r="J741">
        <v>80210</v>
      </c>
      <c r="K741" t="s">
        <v>41</v>
      </c>
      <c r="L741" s="3" t="s">
        <v>21</v>
      </c>
      <c r="M741" cm="1">
        <f t="array" ref="M741">_xlfn.IFS(L740="A", 4, L740="B", 3, L740="C", 2, L740="D", 1)</f>
        <v>2</v>
      </c>
    </row>
    <row r="742" spans="1:13" hidden="1" x14ac:dyDescent="0.2">
      <c r="A742">
        <v>2023</v>
      </c>
      <c r="B742">
        <v>80210</v>
      </c>
      <c r="C742" t="s">
        <v>77</v>
      </c>
      <c r="D742" t="s">
        <v>78</v>
      </c>
      <c r="E742" t="s">
        <v>15</v>
      </c>
      <c r="F742" t="s">
        <v>16</v>
      </c>
      <c r="G742">
        <v>27.9</v>
      </c>
      <c r="H742" s="1">
        <v>39394</v>
      </c>
      <c r="I742" t="s">
        <v>42</v>
      </c>
      <c r="J742">
        <v>80210</v>
      </c>
      <c r="K742" t="s">
        <v>42</v>
      </c>
      <c r="L742" s="3" t="s">
        <v>18</v>
      </c>
      <c r="M742" cm="1">
        <f t="array" ref="M742">_xlfn.IFS(L741="A", 4, L741="B", 3, L741="C", 2, L741="D", 1)</f>
        <v>2</v>
      </c>
    </row>
    <row r="743" spans="1:13" hidden="1" x14ac:dyDescent="0.2">
      <c r="A743">
        <v>2023</v>
      </c>
      <c r="B743">
        <v>80210</v>
      </c>
      <c r="C743" t="s">
        <v>13</v>
      </c>
      <c r="D743" t="s">
        <v>79</v>
      </c>
      <c r="E743" t="s">
        <v>15</v>
      </c>
      <c r="F743" t="s">
        <v>16</v>
      </c>
      <c r="G743">
        <v>18.3</v>
      </c>
      <c r="H743" s="1">
        <v>39394</v>
      </c>
      <c r="I743" t="s">
        <v>38</v>
      </c>
      <c r="J743">
        <v>80210</v>
      </c>
      <c r="K743" t="s">
        <v>38</v>
      </c>
      <c r="L743" s="3" t="s">
        <v>21</v>
      </c>
      <c r="M743" cm="1">
        <f t="array" ref="M743">_xlfn.IFS(L742="A", 4, L742="B", 3, L742="C", 2, L742="D", 1)</f>
        <v>4</v>
      </c>
    </row>
    <row r="744" spans="1:13" hidden="1" x14ac:dyDescent="0.2">
      <c r="A744">
        <v>2023</v>
      </c>
      <c r="B744">
        <v>80210</v>
      </c>
      <c r="C744" t="s">
        <v>13</v>
      </c>
      <c r="D744" t="s">
        <v>79</v>
      </c>
      <c r="E744" t="s">
        <v>15</v>
      </c>
      <c r="F744" t="s">
        <v>16</v>
      </c>
      <c r="G744">
        <v>18.3</v>
      </c>
      <c r="H744" s="1">
        <v>39394</v>
      </c>
      <c r="I744" t="s">
        <v>39</v>
      </c>
      <c r="J744">
        <v>80210</v>
      </c>
      <c r="K744" t="s">
        <v>39</v>
      </c>
      <c r="L744" s="3" t="s">
        <v>21</v>
      </c>
      <c r="M744" cm="1">
        <f t="array" ref="M744">_xlfn.IFS(L743="A", 4, L743="B", 3, L743="C", 2, L743="D", 1)</f>
        <v>2</v>
      </c>
    </row>
    <row r="745" spans="1:13" hidden="1" x14ac:dyDescent="0.2">
      <c r="A745">
        <v>2023</v>
      </c>
      <c r="B745">
        <v>80210</v>
      </c>
      <c r="C745" t="s">
        <v>13</v>
      </c>
      <c r="D745" t="s">
        <v>79</v>
      </c>
      <c r="E745" t="s">
        <v>15</v>
      </c>
      <c r="F745" t="s">
        <v>16</v>
      </c>
      <c r="G745">
        <v>18.3</v>
      </c>
      <c r="H745" s="1">
        <v>39394</v>
      </c>
      <c r="I745" t="s">
        <v>40</v>
      </c>
      <c r="J745">
        <v>80210</v>
      </c>
      <c r="K745" t="s">
        <v>40</v>
      </c>
      <c r="L745" s="3" t="s">
        <v>21</v>
      </c>
      <c r="M745" cm="1">
        <f t="array" ref="M745">_xlfn.IFS(L744="A", 4, L744="B", 3, L744="C", 2, L744="D", 1)</f>
        <v>2</v>
      </c>
    </row>
    <row r="746" spans="1:13" hidden="1" x14ac:dyDescent="0.2">
      <c r="A746">
        <v>2023</v>
      </c>
      <c r="B746">
        <v>80210</v>
      </c>
      <c r="C746" t="s">
        <v>13</v>
      </c>
      <c r="D746" t="s">
        <v>79</v>
      </c>
      <c r="E746" t="s">
        <v>15</v>
      </c>
      <c r="F746" t="s">
        <v>16</v>
      </c>
      <c r="G746">
        <v>18.3</v>
      </c>
      <c r="H746" s="1">
        <v>39394</v>
      </c>
      <c r="I746" t="s">
        <v>41</v>
      </c>
      <c r="J746">
        <v>80210</v>
      </c>
      <c r="K746" t="s">
        <v>41</v>
      </c>
      <c r="L746" s="3" t="s">
        <v>21</v>
      </c>
      <c r="M746" cm="1">
        <f t="array" ref="M746">_xlfn.IFS(L745="A", 4, L745="B", 3, L745="C", 2, L745="D", 1)</f>
        <v>2</v>
      </c>
    </row>
    <row r="747" spans="1:13" hidden="1" x14ac:dyDescent="0.2">
      <c r="A747">
        <v>2023</v>
      </c>
      <c r="B747">
        <v>80210</v>
      </c>
      <c r="C747" t="s">
        <v>13</v>
      </c>
      <c r="D747" t="s">
        <v>79</v>
      </c>
      <c r="E747" t="s">
        <v>15</v>
      </c>
      <c r="F747" t="s">
        <v>16</v>
      </c>
      <c r="G747">
        <v>18.3</v>
      </c>
      <c r="H747" s="1">
        <v>39394</v>
      </c>
      <c r="I747" t="s">
        <v>42</v>
      </c>
      <c r="J747">
        <v>80210</v>
      </c>
      <c r="K747" t="s">
        <v>42</v>
      </c>
      <c r="L747" s="3" t="s">
        <v>18</v>
      </c>
      <c r="M747" cm="1">
        <f t="array" ref="M747">_xlfn.IFS(L746="A", 4, L746="B", 3, L746="C", 2, L746="D", 1)</f>
        <v>2</v>
      </c>
    </row>
    <row r="748" spans="1:13" hidden="1" x14ac:dyDescent="0.2">
      <c r="A748">
        <v>2023</v>
      </c>
      <c r="B748">
        <v>80210</v>
      </c>
      <c r="C748" t="s">
        <v>74</v>
      </c>
      <c r="D748" t="s">
        <v>80</v>
      </c>
      <c r="E748" t="s">
        <v>15</v>
      </c>
      <c r="F748" t="s">
        <v>16</v>
      </c>
      <c r="G748">
        <v>63.6</v>
      </c>
      <c r="H748" s="1">
        <v>39394</v>
      </c>
      <c r="I748" t="s">
        <v>38</v>
      </c>
      <c r="J748">
        <v>80210</v>
      </c>
      <c r="K748" t="s">
        <v>38</v>
      </c>
      <c r="L748" s="3" t="s">
        <v>21</v>
      </c>
      <c r="M748" cm="1">
        <f t="array" ref="M748">_xlfn.IFS(L747="A", 4, L747="B", 3, L747="C", 2, L747="D", 1)</f>
        <v>4</v>
      </c>
    </row>
    <row r="749" spans="1:13" hidden="1" x14ac:dyDescent="0.2">
      <c r="A749">
        <v>2023</v>
      </c>
      <c r="B749">
        <v>80210</v>
      </c>
      <c r="C749" t="s">
        <v>74</v>
      </c>
      <c r="D749" t="s">
        <v>80</v>
      </c>
      <c r="E749" t="s">
        <v>15</v>
      </c>
      <c r="F749" t="s">
        <v>16</v>
      </c>
      <c r="G749">
        <v>63.6</v>
      </c>
      <c r="H749" s="1">
        <v>39394</v>
      </c>
      <c r="I749" t="s">
        <v>39</v>
      </c>
      <c r="J749">
        <v>80210</v>
      </c>
      <c r="K749" t="s">
        <v>39</v>
      </c>
      <c r="L749" s="3" t="s">
        <v>21</v>
      </c>
      <c r="M749" cm="1">
        <f t="array" ref="M749">_xlfn.IFS(L748="A", 4, L748="B", 3, L748="C", 2, L748="D", 1)</f>
        <v>2</v>
      </c>
    </row>
    <row r="750" spans="1:13" hidden="1" x14ac:dyDescent="0.2">
      <c r="A750">
        <v>2023</v>
      </c>
      <c r="B750">
        <v>80210</v>
      </c>
      <c r="C750" t="s">
        <v>74</v>
      </c>
      <c r="D750" t="s">
        <v>80</v>
      </c>
      <c r="E750" t="s">
        <v>15</v>
      </c>
      <c r="F750" t="s">
        <v>16</v>
      </c>
      <c r="G750">
        <v>63.6</v>
      </c>
      <c r="H750" s="1">
        <v>39394</v>
      </c>
      <c r="I750" t="s">
        <v>40</v>
      </c>
      <c r="J750">
        <v>80210</v>
      </c>
      <c r="K750" t="s">
        <v>40</v>
      </c>
      <c r="L750" s="3" t="s">
        <v>21</v>
      </c>
      <c r="M750" cm="1">
        <f t="array" ref="M750">_xlfn.IFS(L749="A", 4, L749="B", 3, L749="C", 2, L749="D", 1)</f>
        <v>2</v>
      </c>
    </row>
    <row r="751" spans="1:13" hidden="1" x14ac:dyDescent="0.2">
      <c r="A751">
        <v>2023</v>
      </c>
      <c r="B751">
        <v>80210</v>
      </c>
      <c r="C751" t="s">
        <v>74</v>
      </c>
      <c r="D751" t="s">
        <v>80</v>
      </c>
      <c r="E751" t="s">
        <v>15</v>
      </c>
      <c r="F751" t="s">
        <v>16</v>
      </c>
      <c r="G751">
        <v>63.6</v>
      </c>
      <c r="H751" s="1">
        <v>39394</v>
      </c>
      <c r="I751" t="s">
        <v>41</v>
      </c>
      <c r="J751">
        <v>80210</v>
      </c>
      <c r="K751" t="s">
        <v>41</v>
      </c>
      <c r="L751" s="3" t="s">
        <v>21</v>
      </c>
      <c r="M751" cm="1">
        <f t="array" ref="M751">_xlfn.IFS(L750="A", 4, L750="B", 3, L750="C", 2, L750="D", 1)</f>
        <v>2</v>
      </c>
    </row>
    <row r="752" spans="1:13" hidden="1" x14ac:dyDescent="0.2">
      <c r="A752">
        <v>2023</v>
      </c>
      <c r="B752">
        <v>80210</v>
      </c>
      <c r="C752" t="s">
        <v>74</v>
      </c>
      <c r="D752" t="s">
        <v>80</v>
      </c>
      <c r="E752" t="s">
        <v>15</v>
      </c>
      <c r="F752" t="s">
        <v>16</v>
      </c>
      <c r="G752">
        <v>63.6</v>
      </c>
      <c r="H752" s="1">
        <v>39394</v>
      </c>
      <c r="I752" t="s">
        <v>42</v>
      </c>
      <c r="J752">
        <v>80210</v>
      </c>
      <c r="K752" t="s">
        <v>42</v>
      </c>
      <c r="L752" s="3" t="s">
        <v>18</v>
      </c>
      <c r="M752" cm="1">
        <f t="array" ref="M752">_xlfn.IFS(L751="A", 4, L751="B", 3, L751="C", 2, L751="D", 1)</f>
        <v>2</v>
      </c>
    </row>
    <row r="753" spans="1:13" hidden="1" x14ac:dyDescent="0.2">
      <c r="A753">
        <v>2023</v>
      </c>
      <c r="B753">
        <v>80210</v>
      </c>
      <c r="C753" t="s">
        <v>13</v>
      </c>
      <c r="D753" t="s">
        <v>81</v>
      </c>
      <c r="E753" t="s">
        <v>15</v>
      </c>
      <c r="F753" t="s">
        <v>16</v>
      </c>
      <c r="G753">
        <v>6.5</v>
      </c>
      <c r="H753" s="1">
        <v>39394</v>
      </c>
      <c r="I753" t="s">
        <v>38</v>
      </c>
      <c r="J753">
        <v>80210</v>
      </c>
      <c r="K753" t="s">
        <v>38</v>
      </c>
      <c r="L753" s="3" t="s">
        <v>21</v>
      </c>
      <c r="M753" cm="1">
        <f t="array" ref="M753">_xlfn.IFS(L752="A", 4, L752="B", 3, L752="C", 2, L752="D", 1)</f>
        <v>4</v>
      </c>
    </row>
    <row r="754" spans="1:13" hidden="1" x14ac:dyDescent="0.2">
      <c r="A754">
        <v>2023</v>
      </c>
      <c r="B754">
        <v>80210</v>
      </c>
      <c r="C754" t="s">
        <v>13</v>
      </c>
      <c r="D754" t="s">
        <v>81</v>
      </c>
      <c r="E754" t="s">
        <v>15</v>
      </c>
      <c r="F754" t="s">
        <v>16</v>
      </c>
      <c r="G754">
        <v>6.5</v>
      </c>
      <c r="H754" s="1">
        <v>39394</v>
      </c>
      <c r="I754" t="s">
        <v>39</v>
      </c>
      <c r="J754">
        <v>80210</v>
      </c>
      <c r="K754" t="s">
        <v>39</v>
      </c>
      <c r="L754" s="3" t="s">
        <v>21</v>
      </c>
      <c r="M754" cm="1">
        <f t="array" ref="M754">_xlfn.IFS(L753="A", 4, L753="B", 3, L753="C", 2, L753="D", 1)</f>
        <v>2</v>
      </c>
    </row>
    <row r="755" spans="1:13" hidden="1" x14ac:dyDescent="0.2">
      <c r="A755">
        <v>2023</v>
      </c>
      <c r="B755">
        <v>80210</v>
      </c>
      <c r="C755" t="s">
        <v>13</v>
      </c>
      <c r="D755" t="s">
        <v>81</v>
      </c>
      <c r="E755" t="s">
        <v>15</v>
      </c>
      <c r="F755" t="s">
        <v>16</v>
      </c>
      <c r="G755">
        <v>6.5</v>
      </c>
      <c r="H755" s="1">
        <v>39394</v>
      </c>
      <c r="I755" t="s">
        <v>40</v>
      </c>
      <c r="J755">
        <v>80210</v>
      </c>
      <c r="K755" t="s">
        <v>40</v>
      </c>
      <c r="L755" s="3" t="s">
        <v>21</v>
      </c>
      <c r="M755" cm="1">
        <f t="array" ref="M755">_xlfn.IFS(L754="A", 4, L754="B", 3, L754="C", 2, L754="D", 1)</f>
        <v>2</v>
      </c>
    </row>
    <row r="756" spans="1:13" hidden="1" x14ac:dyDescent="0.2">
      <c r="A756">
        <v>2023</v>
      </c>
      <c r="B756">
        <v>80210</v>
      </c>
      <c r="C756" t="s">
        <v>13</v>
      </c>
      <c r="D756" t="s">
        <v>81</v>
      </c>
      <c r="E756" t="s">
        <v>15</v>
      </c>
      <c r="F756" t="s">
        <v>16</v>
      </c>
      <c r="G756">
        <v>6.5</v>
      </c>
      <c r="H756" s="1">
        <v>39394</v>
      </c>
      <c r="I756" t="s">
        <v>41</v>
      </c>
      <c r="J756">
        <v>80210</v>
      </c>
      <c r="K756" t="s">
        <v>41</v>
      </c>
      <c r="L756" s="3" t="s">
        <v>21</v>
      </c>
      <c r="M756" cm="1">
        <f t="array" ref="M756">_xlfn.IFS(L755="A", 4, L755="B", 3, L755="C", 2, L755="D", 1)</f>
        <v>2</v>
      </c>
    </row>
    <row r="757" spans="1:13" hidden="1" x14ac:dyDescent="0.2">
      <c r="A757">
        <v>2023</v>
      </c>
      <c r="B757">
        <v>80210</v>
      </c>
      <c r="C757" t="s">
        <v>13</v>
      </c>
      <c r="D757" t="s">
        <v>81</v>
      </c>
      <c r="E757" t="s">
        <v>15</v>
      </c>
      <c r="F757" t="s">
        <v>16</v>
      </c>
      <c r="G757">
        <v>6.5</v>
      </c>
      <c r="H757" s="1">
        <v>39394</v>
      </c>
      <c r="I757" t="s">
        <v>42</v>
      </c>
      <c r="J757">
        <v>80210</v>
      </c>
      <c r="K757" t="s">
        <v>42</v>
      </c>
      <c r="L757" s="3" t="s">
        <v>18</v>
      </c>
      <c r="M757" cm="1">
        <f t="array" ref="M757">_xlfn.IFS(L756="A", 4, L756="B", 3, L756="C", 2, L756="D", 1)</f>
        <v>2</v>
      </c>
    </row>
    <row r="758" spans="1:13" hidden="1" x14ac:dyDescent="0.2">
      <c r="A758">
        <v>2023</v>
      </c>
      <c r="B758">
        <v>80210</v>
      </c>
      <c r="C758" t="s">
        <v>13</v>
      </c>
      <c r="D758" t="s">
        <v>82</v>
      </c>
      <c r="E758" t="s">
        <v>15</v>
      </c>
      <c r="F758" t="s">
        <v>16</v>
      </c>
      <c r="G758">
        <v>10.4</v>
      </c>
      <c r="H758" s="1">
        <v>39394</v>
      </c>
      <c r="I758" t="s">
        <v>38</v>
      </c>
      <c r="J758">
        <v>80210</v>
      </c>
      <c r="K758" t="s">
        <v>38</v>
      </c>
      <c r="L758" s="3" t="s">
        <v>21</v>
      </c>
      <c r="M758" cm="1">
        <f t="array" ref="M758">_xlfn.IFS(L757="A", 4, L757="B", 3, L757="C", 2, L757="D", 1)</f>
        <v>4</v>
      </c>
    </row>
    <row r="759" spans="1:13" hidden="1" x14ac:dyDescent="0.2">
      <c r="A759">
        <v>2023</v>
      </c>
      <c r="B759">
        <v>80210</v>
      </c>
      <c r="C759" t="s">
        <v>13</v>
      </c>
      <c r="D759" t="s">
        <v>82</v>
      </c>
      <c r="E759" t="s">
        <v>15</v>
      </c>
      <c r="F759" t="s">
        <v>16</v>
      </c>
      <c r="G759">
        <v>10.4</v>
      </c>
      <c r="H759" s="1">
        <v>39394</v>
      </c>
      <c r="I759" t="s">
        <v>39</v>
      </c>
      <c r="J759">
        <v>80210</v>
      </c>
      <c r="K759" t="s">
        <v>39</v>
      </c>
      <c r="L759" s="3" t="s">
        <v>21</v>
      </c>
      <c r="M759" cm="1">
        <f t="array" ref="M759">_xlfn.IFS(L758="A", 4, L758="B", 3, L758="C", 2, L758="D", 1)</f>
        <v>2</v>
      </c>
    </row>
    <row r="760" spans="1:13" hidden="1" x14ac:dyDescent="0.2">
      <c r="A760">
        <v>2023</v>
      </c>
      <c r="B760">
        <v>80210</v>
      </c>
      <c r="C760" t="s">
        <v>13</v>
      </c>
      <c r="D760" t="s">
        <v>82</v>
      </c>
      <c r="E760" t="s">
        <v>15</v>
      </c>
      <c r="F760" t="s">
        <v>16</v>
      </c>
      <c r="G760">
        <v>10.4</v>
      </c>
      <c r="H760" s="1">
        <v>39394</v>
      </c>
      <c r="I760" t="s">
        <v>40</v>
      </c>
      <c r="J760">
        <v>80210</v>
      </c>
      <c r="K760" t="s">
        <v>40</v>
      </c>
      <c r="L760" s="3" t="s">
        <v>21</v>
      </c>
      <c r="M760" cm="1">
        <f t="array" ref="M760">_xlfn.IFS(L759="A", 4, L759="B", 3, L759="C", 2, L759="D", 1)</f>
        <v>2</v>
      </c>
    </row>
    <row r="761" spans="1:13" hidden="1" x14ac:dyDescent="0.2">
      <c r="A761">
        <v>2023</v>
      </c>
      <c r="B761">
        <v>80210</v>
      </c>
      <c r="C761" t="s">
        <v>13</v>
      </c>
      <c r="D761" t="s">
        <v>82</v>
      </c>
      <c r="E761" t="s">
        <v>15</v>
      </c>
      <c r="F761" t="s">
        <v>16</v>
      </c>
      <c r="G761">
        <v>10.4</v>
      </c>
      <c r="H761" s="1">
        <v>39394</v>
      </c>
      <c r="I761" t="s">
        <v>41</v>
      </c>
      <c r="J761">
        <v>80210</v>
      </c>
      <c r="K761" t="s">
        <v>41</v>
      </c>
      <c r="L761" s="3" t="s">
        <v>21</v>
      </c>
      <c r="M761" cm="1">
        <f t="array" ref="M761">_xlfn.IFS(L760="A", 4, L760="B", 3, L760="C", 2, L760="D", 1)</f>
        <v>2</v>
      </c>
    </row>
    <row r="762" spans="1:13" hidden="1" x14ac:dyDescent="0.2">
      <c r="A762">
        <v>2023</v>
      </c>
      <c r="B762">
        <v>80210</v>
      </c>
      <c r="C762" t="s">
        <v>13</v>
      </c>
      <c r="D762" t="s">
        <v>82</v>
      </c>
      <c r="E762" t="s">
        <v>15</v>
      </c>
      <c r="F762" t="s">
        <v>16</v>
      </c>
      <c r="G762">
        <v>10.4</v>
      </c>
      <c r="H762" s="1">
        <v>39394</v>
      </c>
      <c r="I762" t="s">
        <v>42</v>
      </c>
      <c r="J762">
        <v>80210</v>
      </c>
      <c r="K762" t="s">
        <v>42</v>
      </c>
      <c r="L762" s="3" t="s">
        <v>18</v>
      </c>
      <c r="M762" cm="1">
        <f t="array" ref="M762">_xlfn.IFS(L761="A", 4, L761="B", 3, L761="C", 2, L761="D", 1)</f>
        <v>2</v>
      </c>
    </row>
    <row r="763" spans="1:13" hidden="1" x14ac:dyDescent="0.2">
      <c r="A763">
        <v>2023</v>
      </c>
      <c r="B763">
        <v>80210</v>
      </c>
      <c r="C763" t="s">
        <v>13</v>
      </c>
      <c r="D763" t="s">
        <v>83</v>
      </c>
      <c r="E763" t="s">
        <v>15</v>
      </c>
      <c r="F763" t="s">
        <v>16</v>
      </c>
      <c r="G763">
        <v>3.4</v>
      </c>
      <c r="H763" s="1">
        <v>39394</v>
      </c>
      <c r="I763" t="s">
        <v>38</v>
      </c>
      <c r="J763">
        <v>80210</v>
      </c>
      <c r="K763" t="s">
        <v>38</v>
      </c>
      <c r="L763" s="3" t="s">
        <v>21</v>
      </c>
      <c r="M763" cm="1">
        <f t="array" ref="M763">_xlfn.IFS(L762="A", 4, L762="B", 3, L762="C", 2, L762="D", 1)</f>
        <v>4</v>
      </c>
    </row>
    <row r="764" spans="1:13" hidden="1" x14ac:dyDescent="0.2">
      <c r="A764">
        <v>2023</v>
      </c>
      <c r="B764">
        <v>80210</v>
      </c>
      <c r="C764" t="s">
        <v>13</v>
      </c>
      <c r="D764" t="s">
        <v>83</v>
      </c>
      <c r="E764" t="s">
        <v>15</v>
      </c>
      <c r="F764" t="s">
        <v>16</v>
      </c>
      <c r="G764">
        <v>3.4</v>
      </c>
      <c r="H764" s="1">
        <v>39394</v>
      </c>
      <c r="I764" t="s">
        <v>39</v>
      </c>
      <c r="J764">
        <v>80210</v>
      </c>
      <c r="K764" t="s">
        <v>39</v>
      </c>
      <c r="L764" s="3" t="s">
        <v>21</v>
      </c>
      <c r="M764" cm="1">
        <f t="array" ref="M764">_xlfn.IFS(L763="A", 4, L763="B", 3, L763="C", 2, L763="D", 1)</f>
        <v>2</v>
      </c>
    </row>
    <row r="765" spans="1:13" hidden="1" x14ac:dyDescent="0.2">
      <c r="A765">
        <v>2023</v>
      </c>
      <c r="B765">
        <v>80210</v>
      </c>
      <c r="C765" t="s">
        <v>13</v>
      </c>
      <c r="D765" t="s">
        <v>83</v>
      </c>
      <c r="E765" t="s">
        <v>15</v>
      </c>
      <c r="F765" t="s">
        <v>16</v>
      </c>
      <c r="G765">
        <v>3.4</v>
      </c>
      <c r="H765" s="1">
        <v>39394</v>
      </c>
      <c r="I765" t="s">
        <v>40</v>
      </c>
      <c r="J765">
        <v>80210</v>
      </c>
      <c r="K765" t="s">
        <v>40</v>
      </c>
      <c r="L765" s="3" t="s">
        <v>21</v>
      </c>
      <c r="M765" cm="1">
        <f t="array" ref="M765">_xlfn.IFS(L764="A", 4, L764="B", 3, L764="C", 2, L764="D", 1)</f>
        <v>2</v>
      </c>
    </row>
    <row r="766" spans="1:13" hidden="1" x14ac:dyDescent="0.2">
      <c r="A766">
        <v>2023</v>
      </c>
      <c r="B766">
        <v>80210</v>
      </c>
      <c r="C766" t="s">
        <v>13</v>
      </c>
      <c r="D766" t="s">
        <v>83</v>
      </c>
      <c r="E766" t="s">
        <v>15</v>
      </c>
      <c r="F766" t="s">
        <v>16</v>
      </c>
      <c r="G766">
        <v>3.4</v>
      </c>
      <c r="H766" s="1">
        <v>39394</v>
      </c>
      <c r="I766" t="s">
        <v>41</v>
      </c>
      <c r="J766">
        <v>80210</v>
      </c>
      <c r="K766" t="s">
        <v>41</v>
      </c>
      <c r="L766" s="3" t="s">
        <v>21</v>
      </c>
      <c r="M766" cm="1">
        <f t="array" ref="M766">_xlfn.IFS(L765="A", 4, L765="B", 3, L765="C", 2, L765="D", 1)</f>
        <v>2</v>
      </c>
    </row>
    <row r="767" spans="1:13" hidden="1" x14ac:dyDescent="0.2">
      <c r="A767">
        <v>2023</v>
      </c>
      <c r="B767">
        <v>80210</v>
      </c>
      <c r="C767" t="s">
        <v>13</v>
      </c>
      <c r="D767" t="s">
        <v>83</v>
      </c>
      <c r="E767" t="s">
        <v>15</v>
      </c>
      <c r="F767" t="s">
        <v>16</v>
      </c>
      <c r="G767">
        <v>3.4</v>
      </c>
      <c r="H767" s="1">
        <v>39394</v>
      </c>
      <c r="I767" t="s">
        <v>42</v>
      </c>
      <c r="J767">
        <v>80210</v>
      </c>
      <c r="K767" t="s">
        <v>42</v>
      </c>
      <c r="L767" s="3" t="s">
        <v>18</v>
      </c>
      <c r="M767" cm="1">
        <f t="array" ref="M767">_xlfn.IFS(L766="A", 4, L766="B", 3, L766="C", 2, L766="D", 1)</f>
        <v>2</v>
      </c>
    </row>
    <row r="768" spans="1:13" x14ac:dyDescent="0.2">
      <c r="A768">
        <v>2023</v>
      </c>
      <c r="B768">
        <v>80210</v>
      </c>
      <c r="C768" t="s">
        <v>74</v>
      </c>
      <c r="D768" t="s">
        <v>84</v>
      </c>
      <c r="E768" t="s">
        <v>15</v>
      </c>
      <c r="F768" t="s">
        <v>16</v>
      </c>
      <c r="G768">
        <v>69.400000000000006</v>
      </c>
      <c r="H768" s="1">
        <v>39394</v>
      </c>
      <c r="I768" t="s">
        <v>38</v>
      </c>
      <c r="J768">
        <v>80210</v>
      </c>
      <c r="K768" t="s">
        <v>38</v>
      </c>
      <c r="L768" s="3" t="s">
        <v>21</v>
      </c>
      <c r="M768" cm="1">
        <f t="array" ref="M768">_xlfn.IFS(L767="A", 4, L767="B", 3, L767="C", 2, L767="D", 1)</f>
        <v>4</v>
      </c>
    </row>
    <row r="769" spans="1:13" x14ac:dyDescent="0.2">
      <c r="A769">
        <v>2023</v>
      </c>
      <c r="B769">
        <v>80210</v>
      </c>
      <c r="C769" t="s">
        <v>74</v>
      </c>
      <c r="D769" t="s">
        <v>84</v>
      </c>
      <c r="E769" t="s">
        <v>15</v>
      </c>
      <c r="F769" t="s">
        <v>16</v>
      </c>
      <c r="G769">
        <v>69.400000000000006</v>
      </c>
      <c r="H769" s="1">
        <v>39394</v>
      </c>
      <c r="I769" t="s">
        <v>39</v>
      </c>
      <c r="J769">
        <v>80210</v>
      </c>
      <c r="K769" t="s">
        <v>39</v>
      </c>
      <c r="L769" s="3" t="s">
        <v>21</v>
      </c>
      <c r="M769" cm="1">
        <f t="array" ref="M769">_xlfn.IFS(L768="A", 4, L768="B", 3, L768="C", 2, L768="D", 1)</f>
        <v>2</v>
      </c>
    </row>
    <row r="770" spans="1:13" x14ac:dyDescent="0.2">
      <c r="A770">
        <v>2023</v>
      </c>
      <c r="B770">
        <v>80210</v>
      </c>
      <c r="C770" t="s">
        <v>74</v>
      </c>
      <c r="D770" t="s">
        <v>84</v>
      </c>
      <c r="E770" t="s">
        <v>15</v>
      </c>
      <c r="F770" t="s">
        <v>16</v>
      </c>
      <c r="G770">
        <v>69.400000000000006</v>
      </c>
      <c r="H770" s="1">
        <v>39394</v>
      </c>
      <c r="I770" t="s">
        <v>40</v>
      </c>
      <c r="J770">
        <v>80210</v>
      </c>
      <c r="K770" t="s">
        <v>40</v>
      </c>
      <c r="L770" s="3" t="s">
        <v>21</v>
      </c>
      <c r="M770" cm="1">
        <f t="array" ref="M770">_xlfn.IFS(L769="A", 4, L769="B", 3, L769="C", 2, L769="D", 1)</f>
        <v>2</v>
      </c>
    </row>
    <row r="771" spans="1:13" x14ac:dyDescent="0.2">
      <c r="A771">
        <v>2023</v>
      </c>
      <c r="B771">
        <v>80210</v>
      </c>
      <c r="C771" t="s">
        <v>74</v>
      </c>
      <c r="D771" t="s">
        <v>84</v>
      </c>
      <c r="E771" t="s">
        <v>15</v>
      </c>
      <c r="F771" t="s">
        <v>16</v>
      </c>
      <c r="G771">
        <v>69.400000000000006</v>
      </c>
      <c r="H771" s="1">
        <v>39394</v>
      </c>
      <c r="I771" t="s">
        <v>41</v>
      </c>
      <c r="J771">
        <v>80210</v>
      </c>
      <c r="K771" t="s">
        <v>41</v>
      </c>
      <c r="L771" s="3" t="s">
        <v>21</v>
      </c>
      <c r="M771" cm="1">
        <f t="array" ref="M771">_xlfn.IFS(L770="A", 4, L770="B", 3, L770="C", 2, L770="D", 1)</f>
        <v>2</v>
      </c>
    </row>
    <row r="772" spans="1:13" x14ac:dyDescent="0.2">
      <c r="A772">
        <v>2023</v>
      </c>
      <c r="B772">
        <v>80210</v>
      </c>
      <c r="C772" t="s">
        <v>74</v>
      </c>
      <c r="D772" t="s">
        <v>84</v>
      </c>
      <c r="E772" t="s">
        <v>15</v>
      </c>
      <c r="F772" t="s">
        <v>16</v>
      </c>
      <c r="G772">
        <v>69.400000000000006</v>
      </c>
      <c r="H772" s="1">
        <v>39394</v>
      </c>
      <c r="I772" t="s">
        <v>42</v>
      </c>
      <c r="J772">
        <v>80210</v>
      </c>
      <c r="K772" t="s">
        <v>42</v>
      </c>
      <c r="L772" s="3" t="s">
        <v>18</v>
      </c>
      <c r="M772" cm="1">
        <f t="array" ref="M772">_xlfn.IFS(L771="A", 4, L771="B", 3, L771="C", 2, L771="D", 1)</f>
        <v>2</v>
      </c>
    </row>
    <row r="773" spans="1:13" hidden="1" x14ac:dyDescent="0.2">
      <c r="A773">
        <v>2023</v>
      </c>
      <c r="B773">
        <v>80210</v>
      </c>
      <c r="C773" t="s">
        <v>74</v>
      </c>
      <c r="D773" t="s">
        <v>85</v>
      </c>
      <c r="E773" t="s">
        <v>15</v>
      </c>
      <c r="F773" t="s">
        <v>16</v>
      </c>
      <c r="G773">
        <v>83.7</v>
      </c>
      <c r="H773" s="1">
        <v>39394</v>
      </c>
      <c r="I773" t="s">
        <v>38</v>
      </c>
      <c r="J773">
        <v>80210</v>
      </c>
      <c r="K773" t="s">
        <v>38</v>
      </c>
      <c r="L773" s="3" t="s">
        <v>21</v>
      </c>
      <c r="M773" cm="1">
        <f t="array" ref="M773">_xlfn.IFS(L772="A", 4, L772="B", 3, L772="C", 2, L772="D", 1)</f>
        <v>4</v>
      </c>
    </row>
    <row r="774" spans="1:13" hidden="1" x14ac:dyDescent="0.2">
      <c r="A774">
        <v>2023</v>
      </c>
      <c r="B774">
        <v>80210</v>
      </c>
      <c r="C774" t="s">
        <v>74</v>
      </c>
      <c r="D774" t="s">
        <v>85</v>
      </c>
      <c r="E774" t="s">
        <v>15</v>
      </c>
      <c r="F774" t="s">
        <v>16</v>
      </c>
      <c r="G774">
        <v>83.7</v>
      </c>
      <c r="H774" s="1">
        <v>39394</v>
      </c>
      <c r="I774" t="s">
        <v>39</v>
      </c>
      <c r="J774">
        <v>80210</v>
      </c>
      <c r="K774" t="s">
        <v>39</v>
      </c>
      <c r="L774" s="3" t="s">
        <v>21</v>
      </c>
      <c r="M774" cm="1">
        <f t="array" ref="M774">_xlfn.IFS(L773="A", 4, L773="B", 3, L773="C", 2, L773="D", 1)</f>
        <v>2</v>
      </c>
    </row>
    <row r="775" spans="1:13" hidden="1" x14ac:dyDescent="0.2">
      <c r="A775">
        <v>2023</v>
      </c>
      <c r="B775">
        <v>80210</v>
      </c>
      <c r="C775" t="s">
        <v>74</v>
      </c>
      <c r="D775" t="s">
        <v>85</v>
      </c>
      <c r="E775" t="s">
        <v>15</v>
      </c>
      <c r="F775" t="s">
        <v>16</v>
      </c>
      <c r="G775">
        <v>83.7</v>
      </c>
      <c r="H775" s="1">
        <v>39394</v>
      </c>
      <c r="I775" t="s">
        <v>40</v>
      </c>
      <c r="J775">
        <v>80210</v>
      </c>
      <c r="K775" t="s">
        <v>40</v>
      </c>
      <c r="L775" s="3" t="s">
        <v>21</v>
      </c>
      <c r="M775" cm="1">
        <f t="array" ref="M775">_xlfn.IFS(L774="A", 4, L774="B", 3, L774="C", 2, L774="D", 1)</f>
        <v>2</v>
      </c>
    </row>
    <row r="776" spans="1:13" hidden="1" x14ac:dyDescent="0.2">
      <c r="A776">
        <v>2023</v>
      </c>
      <c r="B776">
        <v>80210</v>
      </c>
      <c r="C776" t="s">
        <v>74</v>
      </c>
      <c r="D776" t="s">
        <v>85</v>
      </c>
      <c r="E776" t="s">
        <v>15</v>
      </c>
      <c r="F776" t="s">
        <v>16</v>
      </c>
      <c r="G776">
        <v>83.7</v>
      </c>
      <c r="H776" s="1">
        <v>39394</v>
      </c>
      <c r="I776" t="s">
        <v>41</v>
      </c>
      <c r="J776">
        <v>80210</v>
      </c>
      <c r="K776" t="s">
        <v>41</v>
      </c>
      <c r="L776" s="3" t="s">
        <v>21</v>
      </c>
      <c r="M776" cm="1">
        <f t="array" ref="M776">_xlfn.IFS(L775="A", 4, L775="B", 3, L775="C", 2, L775="D", 1)</f>
        <v>2</v>
      </c>
    </row>
    <row r="777" spans="1:13" hidden="1" x14ac:dyDescent="0.2">
      <c r="A777">
        <v>2023</v>
      </c>
      <c r="B777">
        <v>80210</v>
      </c>
      <c r="C777" t="s">
        <v>74</v>
      </c>
      <c r="D777" t="s">
        <v>85</v>
      </c>
      <c r="E777" t="s">
        <v>15</v>
      </c>
      <c r="F777" t="s">
        <v>16</v>
      </c>
      <c r="G777">
        <v>83.7</v>
      </c>
      <c r="H777" s="1">
        <v>39394</v>
      </c>
      <c r="I777" t="s">
        <v>42</v>
      </c>
      <c r="J777">
        <v>80210</v>
      </c>
      <c r="K777" t="s">
        <v>42</v>
      </c>
      <c r="L777" s="3" t="s">
        <v>18</v>
      </c>
      <c r="M777" cm="1">
        <f t="array" ref="M777">_xlfn.IFS(L776="A", 4, L776="B", 3, L776="C", 2, L776="D", 1)</f>
        <v>2</v>
      </c>
    </row>
    <row r="778" spans="1:13" hidden="1" x14ac:dyDescent="0.2">
      <c r="A778">
        <v>2023</v>
      </c>
      <c r="B778">
        <v>80210</v>
      </c>
      <c r="C778" t="s">
        <v>86</v>
      </c>
      <c r="D778" t="s">
        <v>87</v>
      </c>
      <c r="E778" t="s">
        <v>15</v>
      </c>
      <c r="F778" t="s">
        <v>16</v>
      </c>
      <c r="G778">
        <v>12</v>
      </c>
      <c r="H778" s="1">
        <v>39394</v>
      </c>
      <c r="I778" t="s">
        <v>38</v>
      </c>
      <c r="J778">
        <v>80210</v>
      </c>
      <c r="K778" t="s">
        <v>38</v>
      </c>
      <c r="L778" s="3" t="s">
        <v>21</v>
      </c>
      <c r="M778" cm="1">
        <f t="array" ref="M778">_xlfn.IFS(L777="A", 4, L777="B", 3, L777="C", 2, L777="D", 1)</f>
        <v>4</v>
      </c>
    </row>
    <row r="779" spans="1:13" hidden="1" x14ac:dyDescent="0.2">
      <c r="A779">
        <v>2023</v>
      </c>
      <c r="B779">
        <v>80210</v>
      </c>
      <c r="C779" t="s">
        <v>86</v>
      </c>
      <c r="D779" t="s">
        <v>87</v>
      </c>
      <c r="E779" t="s">
        <v>15</v>
      </c>
      <c r="F779" t="s">
        <v>16</v>
      </c>
      <c r="G779">
        <v>12</v>
      </c>
      <c r="H779" s="1">
        <v>39394</v>
      </c>
      <c r="I779" t="s">
        <v>39</v>
      </c>
      <c r="J779">
        <v>80210</v>
      </c>
      <c r="K779" t="s">
        <v>39</v>
      </c>
      <c r="L779" s="3" t="s">
        <v>21</v>
      </c>
      <c r="M779" cm="1">
        <f t="array" ref="M779">_xlfn.IFS(L778="A", 4, L778="B", 3, L778="C", 2, L778="D", 1)</f>
        <v>2</v>
      </c>
    </row>
    <row r="780" spans="1:13" hidden="1" x14ac:dyDescent="0.2">
      <c r="A780">
        <v>2023</v>
      </c>
      <c r="B780">
        <v>80210</v>
      </c>
      <c r="C780" t="s">
        <v>86</v>
      </c>
      <c r="D780" t="s">
        <v>87</v>
      </c>
      <c r="E780" t="s">
        <v>15</v>
      </c>
      <c r="F780" t="s">
        <v>16</v>
      </c>
      <c r="G780">
        <v>12</v>
      </c>
      <c r="H780" s="1">
        <v>39394</v>
      </c>
      <c r="I780" t="s">
        <v>40</v>
      </c>
      <c r="J780">
        <v>80210</v>
      </c>
      <c r="K780" t="s">
        <v>40</v>
      </c>
      <c r="L780" s="3" t="s">
        <v>21</v>
      </c>
      <c r="M780" cm="1">
        <f t="array" ref="M780">_xlfn.IFS(L779="A", 4, L779="B", 3, L779="C", 2, L779="D", 1)</f>
        <v>2</v>
      </c>
    </row>
    <row r="781" spans="1:13" hidden="1" x14ac:dyDescent="0.2">
      <c r="A781">
        <v>2023</v>
      </c>
      <c r="B781">
        <v>80210</v>
      </c>
      <c r="C781" t="s">
        <v>86</v>
      </c>
      <c r="D781" t="s">
        <v>87</v>
      </c>
      <c r="E781" t="s">
        <v>15</v>
      </c>
      <c r="F781" t="s">
        <v>16</v>
      </c>
      <c r="G781">
        <v>12</v>
      </c>
      <c r="H781" s="1">
        <v>39394</v>
      </c>
      <c r="I781" t="s">
        <v>41</v>
      </c>
      <c r="J781">
        <v>80210</v>
      </c>
      <c r="K781" t="s">
        <v>41</v>
      </c>
      <c r="L781" s="3" t="s">
        <v>21</v>
      </c>
      <c r="M781" cm="1">
        <f t="array" ref="M781">_xlfn.IFS(L780="A", 4, L780="B", 3, L780="C", 2, L780="D", 1)</f>
        <v>2</v>
      </c>
    </row>
    <row r="782" spans="1:13" hidden="1" x14ac:dyDescent="0.2">
      <c r="A782">
        <v>2023</v>
      </c>
      <c r="B782">
        <v>80210</v>
      </c>
      <c r="C782" t="s">
        <v>86</v>
      </c>
      <c r="D782" t="s">
        <v>87</v>
      </c>
      <c r="E782" t="s">
        <v>15</v>
      </c>
      <c r="F782" t="s">
        <v>16</v>
      </c>
      <c r="G782">
        <v>12</v>
      </c>
      <c r="H782" s="1">
        <v>39394</v>
      </c>
      <c r="I782" t="s">
        <v>42</v>
      </c>
      <c r="J782">
        <v>80210</v>
      </c>
      <c r="K782" t="s">
        <v>42</v>
      </c>
      <c r="L782" s="3" t="s">
        <v>18</v>
      </c>
      <c r="M782" cm="1">
        <f t="array" ref="M782">_xlfn.IFS(L781="A", 4, L781="B", 3, L781="C", 2, L781="D", 1)</f>
        <v>2</v>
      </c>
    </row>
    <row r="783" spans="1:13" hidden="1" x14ac:dyDescent="0.2">
      <c r="A783">
        <v>2022</v>
      </c>
      <c r="B783">
        <v>80210</v>
      </c>
      <c r="C783" t="s">
        <v>74</v>
      </c>
      <c r="D783" t="s">
        <v>88</v>
      </c>
      <c r="E783" t="s">
        <v>15</v>
      </c>
      <c r="F783" t="s">
        <v>16</v>
      </c>
      <c r="G783">
        <v>67</v>
      </c>
      <c r="H783" s="1">
        <v>39394</v>
      </c>
      <c r="I783" t="s">
        <v>38</v>
      </c>
      <c r="J783">
        <v>80210</v>
      </c>
      <c r="K783" t="s">
        <v>38</v>
      </c>
      <c r="L783" s="3" t="s">
        <v>21</v>
      </c>
      <c r="M783" cm="1">
        <f t="array" ref="M783">_xlfn.IFS(L782="A", 4, L782="B", 3, L782="C", 2, L782="D", 1)</f>
        <v>4</v>
      </c>
    </row>
    <row r="784" spans="1:13" hidden="1" x14ac:dyDescent="0.2">
      <c r="A784">
        <v>2022</v>
      </c>
      <c r="B784">
        <v>80210</v>
      </c>
      <c r="C784" t="s">
        <v>74</v>
      </c>
      <c r="D784" t="s">
        <v>88</v>
      </c>
      <c r="E784" t="s">
        <v>15</v>
      </c>
      <c r="F784" t="s">
        <v>16</v>
      </c>
      <c r="G784">
        <v>67</v>
      </c>
      <c r="H784" s="1">
        <v>39394</v>
      </c>
      <c r="I784" t="s">
        <v>39</v>
      </c>
      <c r="J784">
        <v>80210</v>
      </c>
      <c r="K784" t="s">
        <v>39</v>
      </c>
      <c r="L784" s="3" t="s">
        <v>21</v>
      </c>
      <c r="M784" cm="1">
        <f t="array" ref="M784">_xlfn.IFS(L783="A", 4, L783="B", 3, L783="C", 2, L783="D", 1)</f>
        <v>2</v>
      </c>
    </row>
    <row r="785" spans="1:13" hidden="1" x14ac:dyDescent="0.2">
      <c r="A785">
        <v>2022</v>
      </c>
      <c r="B785">
        <v>80210</v>
      </c>
      <c r="C785" t="s">
        <v>74</v>
      </c>
      <c r="D785" t="s">
        <v>88</v>
      </c>
      <c r="E785" t="s">
        <v>15</v>
      </c>
      <c r="F785" t="s">
        <v>16</v>
      </c>
      <c r="G785">
        <v>67</v>
      </c>
      <c r="H785" s="1">
        <v>39394</v>
      </c>
      <c r="I785" t="s">
        <v>40</v>
      </c>
      <c r="J785">
        <v>80210</v>
      </c>
      <c r="K785" t="s">
        <v>40</v>
      </c>
      <c r="L785" s="3" t="s">
        <v>21</v>
      </c>
      <c r="M785" cm="1">
        <f t="array" ref="M785">_xlfn.IFS(L784="A", 4, L784="B", 3, L784="C", 2, L784="D", 1)</f>
        <v>2</v>
      </c>
    </row>
    <row r="786" spans="1:13" hidden="1" x14ac:dyDescent="0.2">
      <c r="A786">
        <v>2022</v>
      </c>
      <c r="B786">
        <v>80210</v>
      </c>
      <c r="C786" t="s">
        <v>74</v>
      </c>
      <c r="D786" t="s">
        <v>88</v>
      </c>
      <c r="E786" t="s">
        <v>15</v>
      </c>
      <c r="F786" t="s">
        <v>16</v>
      </c>
      <c r="G786">
        <v>67</v>
      </c>
      <c r="H786" s="1">
        <v>39394</v>
      </c>
      <c r="I786" t="s">
        <v>41</v>
      </c>
      <c r="J786">
        <v>80210</v>
      </c>
      <c r="K786" t="s">
        <v>41</v>
      </c>
      <c r="L786" s="3" t="s">
        <v>21</v>
      </c>
      <c r="M786" cm="1">
        <f t="array" ref="M786">_xlfn.IFS(L785="A", 4, L785="B", 3, L785="C", 2, L785="D", 1)</f>
        <v>2</v>
      </c>
    </row>
    <row r="787" spans="1:13" hidden="1" x14ac:dyDescent="0.2">
      <c r="A787">
        <v>2022</v>
      </c>
      <c r="B787">
        <v>80210</v>
      </c>
      <c r="C787" t="s">
        <v>74</v>
      </c>
      <c r="D787" t="s">
        <v>88</v>
      </c>
      <c r="E787" t="s">
        <v>15</v>
      </c>
      <c r="F787" t="s">
        <v>16</v>
      </c>
      <c r="G787">
        <v>67</v>
      </c>
      <c r="H787" s="1">
        <v>39394</v>
      </c>
      <c r="I787" t="s">
        <v>42</v>
      </c>
      <c r="J787">
        <v>80210</v>
      </c>
      <c r="K787" t="s">
        <v>42</v>
      </c>
      <c r="L787" s="3" t="s">
        <v>18</v>
      </c>
      <c r="M787" cm="1">
        <f t="array" ref="M787">_xlfn.IFS(L786="A", 4, L786="B", 3, L786="C", 2, L786="D", 1)</f>
        <v>2</v>
      </c>
    </row>
    <row r="788" spans="1:13" hidden="1" x14ac:dyDescent="0.2">
      <c r="A788">
        <v>2023</v>
      </c>
      <c r="B788">
        <v>80210</v>
      </c>
      <c r="C788" t="s">
        <v>13</v>
      </c>
      <c r="D788" t="s">
        <v>89</v>
      </c>
      <c r="E788" t="s">
        <v>15</v>
      </c>
      <c r="F788" t="s">
        <v>16</v>
      </c>
      <c r="G788">
        <v>3.3</v>
      </c>
      <c r="H788" s="1">
        <v>39394</v>
      </c>
      <c r="I788" t="s">
        <v>38</v>
      </c>
      <c r="J788">
        <v>80210</v>
      </c>
      <c r="K788" t="s">
        <v>38</v>
      </c>
      <c r="L788" s="3" t="s">
        <v>21</v>
      </c>
      <c r="M788" cm="1">
        <f t="array" ref="M788">_xlfn.IFS(L787="A", 4, L787="B", 3, L787="C", 2, L787="D", 1)</f>
        <v>4</v>
      </c>
    </row>
    <row r="789" spans="1:13" hidden="1" x14ac:dyDescent="0.2">
      <c r="A789">
        <v>2023</v>
      </c>
      <c r="B789">
        <v>80210</v>
      </c>
      <c r="C789" t="s">
        <v>13</v>
      </c>
      <c r="D789" t="s">
        <v>89</v>
      </c>
      <c r="E789" t="s">
        <v>15</v>
      </c>
      <c r="F789" t="s">
        <v>16</v>
      </c>
      <c r="G789">
        <v>3.3</v>
      </c>
      <c r="H789" s="1">
        <v>39394</v>
      </c>
      <c r="I789" t="s">
        <v>39</v>
      </c>
      <c r="J789">
        <v>80210</v>
      </c>
      <c r="K789" t="s">
        <v>39</v>
      </c>
      <c r="L789" s="3" t="s">
        <v>21</v>
      </c>
      <c r="M789" cm="1">
        <f t="array" ref="M789">_xlfn.IFS(L788="A", 4, L788="B", 3, L788="C", 2, L788="D", 1)</f>
        <v>2</v>
      </c>
    </row>
    <row r="790" spans="1:13" hidden="1" x14ac:dyDescent="0.2">
      <c r="A790">
        <v>2023</v>
      </c>
      <c r="B790">
        <v>80210</v>
      </c>
      <c r="C790" t="s">
        <v>13</v>
      </c>
      <c r="D790" t="s">
        <v>89</v>
      </c>
      <c r="E790" t="s">
        <v>15</v>
      </c>
      <c r="F790" t="s">
        <v>16</v>
      </c>
      <c r="G790">
        <v>3.3</v>
      </c>
      <c r="H790" s="1">
        <v>39394</v>
      </c>
      <c r="I790" t="s">
        <v>40</v>
      </c>
      <c r="J790">
        <v>80210</v>
      </c>
      <c r="K790" t="s">
        <v>40</v>
      </c>
      <c r="L790" s="3" t="s">
        <v>21</v>
      </c>
      <c r="M790" cm="1">
        <f t="array" ref="M790">_xlfn.IFS(L789="A", 4, L789="B", 3, L789="C", 2, L789="D", 1)</f>
        <v>2</v>
      </c>
    </row>
    <row r="791" spans="1:13" hidden="1" x14ac:dyDescent="0.2">
      <c r="A791">
        <v>2023</v>
      </c>
      <c r="B791">
        <v>80210</v>
      </c>
      <c r="C791" t="s">
        <v>13</v>
      </c>
      <c r="D791" t="s">
        <v>89</v>
      </c>
      <c r="E791" t="s">
        <v>15</v>
      </c>
      <c r="F791" t="s">
        <v>16</v>
      </c>
      <c r="G791">
        <v>3.3</v>
      </c>
      <c r="H791" s="1">
        <v>39394</v>
      </c>
      <c r="I791" t="s">
        <v>41</v>
      </c>
      <c r="J791">
        <v>80210</v>
      </c>
      <c r="K791" t="s">
        <v>41</v>
      </c>
      <c r="L791" s="3" t="s">
        <v>21</v>
      </c>
      <c r="M791" cm="1">
        <f t="array" ref="M791">_xlfn.IFS(L790="A", 4, L790="B", 3, L790="C", 2, L790="D", 1)</f>
        <v>2</v>
      </c>
    </row>
    <row r="792" spans="1:13" hidden="1" x14ac:dyDescent="0.2">
      <c r="A792">
        <v>2023</v>
      </c>
      <c r="B792">
        <v>80210</v>
      </c>
      <c r="C792" t="s">
        <v>13</v>
      </c>
      <c r="D792" t="s">
        <v>89</v>
      </c>
      <c r="E792" t="s">
        <v>15</v>
      </c>
      <c r="F792" t="s">
        <v>16</v>
      </c>
      <c r="G792">
        <v>3.3</v>
      </c>
      <c r="H792" s="1">
        <v>39394</v>
      </c>
      <c r="I792" t="s">
        <v>42</v>
      </c>
      <c r="J792">
        <v>80210</v>
      </c>
      <c r="K792" t="s">
        <v>42</v>
      </c>
      <c r="L792" s="3" t="s">
        <v>18</v>
      </c>
      <c r="M792" cm="1">
        <f t="array" ref="M792">_xlfn.IFS(L791="A", 4, L791="B", 3, L791="C", 2, L791="D", 1)</f>
        <v>2</v>
      </c>
    </row>
    <row r="793" spans="1:13" hidden="1" x14ac:dyDescent="0.2">
      <c r="A793">
        <v>2023</v>
      </c>
      <c r="B793">
        <v>80210</v>
      </c>
      <c r="C793" t="s">
        <v>77</v>
      </c>
      <c r="D793" t="s">
        <v>90</v>
      </c>
      <c r="E793" t="s">
        <v>15</v>
      </c>
      <c r="F793" t="s">
        <v>16</v>
      </c>
      <c r="G793">
        <v>7.6</v>
      </c>
      <c r="H793" s="1">
        <v>39394</v>
      </c>
      <c r="I793" t="s">
        <v>38</v>
      </c>
      <c r="J793">
        <v>80210</v>
      </c>
      <c r="K793" t="s">
        <v>38</v>
      </c>
      <c r="L793" s="3" t="s">
        <v>21</v>
      </c>
      <c r="M793" cm="1">
        <f t="array" ref="M793">_xlfn.IFS(L792="A", 4, L792="B", 3, L792="C", 2, L792="D", 1)</f>
        <v>4</v>
      </c>
    </row>
    <row r="794" spans="1:13" hidden="1" x14ac:dyDescent="0.2">
      <c r="A794">
        <v>2023</v>
      </c>
      <c r="B794">
        <v>80210</v>
      </c>
      <c r="C794" t="s">
        <v>77</v>
      </c>
      <c r="D794" t="s">
        <v>90</v>
      </c>
      <c r="E794" t="s">
        <v>15</v>
      </c>
      <c r="F794" t="s">
        <v>16</v>
      </c>
      <c r="G794">
        <v>7.6</v>
      </c>
      <c r="H794" s="1">
        <v>39394</v>
      </c>
      <c r="I794" t="s">
        <v>39</v>
      </c>
      <c r="J794">
        <v>80210</v>
      </c>
      <c r="K794" t="s">
        <v>39</v>
      </c>
      <c r="L794" s="3" t="s">
        <v>21</v>
      </c>
      <c r="M794" cm="1">
        <f t="array" ref="M794">_xlfn.IFS(L793="A", 4, L793="B", 3, L793="C", 2, L793="D", 1)</f>
        <v>2</v>
      </c>
    </row>
    <row r="795" spans="1:13" hidden="1" x14ac:dyDescent="0.2">
      <c r="A795">
        <v>2023</v>
      </c>
      <c r="B795">
        <v>80210</v>
      </c>
      <c r="C795" t="s">
        <v>77</v>
      </c>
      <c r="D795" t="s">
        <v>90</v>
      </c>
      <c r="E795" t="s">
        <v>15</v>
      </c>
      <c r="F795" t="s">
        <v>16</v>
      </c>
      <c r="G795">
        <v>7.6</v>
      </c>
      <c r="H795" s="1">
        <v>39394</v>
      </c>
      <c r="I795" t="s">
        <v>40</v>
      </c>
      <c r="J795">
        <v>80210</v>
      </c>
      <c r="K795" t="s">
        <v>40</v>
      </c>
      <c r="L795" s="3" t="s">
        <v>21</v>
      </c>
      <c r="M795" cm="1">
        <f t="array" ref="M795">_xlfn.IFS(L794="A", 4, L794="B", 3, L794="C", 2, L794="D", 1)</f>
        <v>2</v>
      </c>
    </row>
    <row r="796" spans="1:13" hidden="1" x14ac:dyDescent="0.2">
      <c r="A796">
        <v>2023</v>
      </c>
      <c r="B796">
        <v>80210</v>
      </c>
      <c r="C796" t="s">
        <v>77</v>
      </c>
      <c r="D796" t="s">
        <v>90</v>
      </c>
      <c r="E796" t="s">
        <v>15</v>
      </c>
      <c r="F796" t="s">
        <v>16</v>
      </c>
      <c r="G796">
        <v>7.6</v>
      </c>
      <c r="H796" s="1">
        <v>39394</v>
      </c>
      <c r="I796" t="s">
        <v>41</v>
      </c>
      <c r="J796">
        <v>80210</v>
      </c>
      <c r="K796" t="s">
        <v>41</v>
      </c>
      <c r="L796" s="3" t="s">
        <v>21</v>
      </c>
      <c r="M796" cm="1">
        <f t="array" ref="M796">_xlfn.IFS(L795="A", 4, L795="B", 3, L795="C", 2, L795="D", 1)</f>
        <v>2</v>
      </c>
    </row>
    <row r="797" spans="1:13" hidden="1" x14ac:dyDescent="0.2">
      <c r="A797">
        <v>2023</v>
      </c>
      <c r="B797">
        <v>80210</v>
      </c>
      <c r="C797" t="s">
        <v>77</v>
      </c>
      <c r="D797" t="s">
        <v>90</v>
      </c>
      <c r="E797" t="s">
        <v>15</v>
      </c>
      <c r="F797" t="s">
        <v>16</v>
      </c>
      <c r="G797">
        <v>7.6</v>
      </c>
      <c r="H797" s="1">
        <v>39394</v>
      </c>
      <c r="I797" t="s">
        <v>42</v>
      </c>
      <c r="J797">
        <v>80210</v>
      </c>
      <c r="K797" t="s">
        <v>42</v>
      </c>
      <c r="L797" s="3" t="s">
        <v>18</v>
      </c>
      <c r="M797" cm="1">
        <f t="array" ref="M797">_xlfn.IFS(L796="A", 4, L796="B", 3, L796="C", 2, L796="D", 1)</f>
        <v>2</v>
      </c>
    </row>
    <row r="798" spans="1:13" hidden="1" x14ac:dyDescent="0.2">
      <c r="A798">
        <v>2022</v>
      </c>
      <c r="B798">
        <v>80210</v>
      </c>
      <c r="C798" t="s">
        <v>74</v>
      </c>
      <c r="D798" t="s">
        <v>91</v>
      </c>
      <c r="E798" t="s">
        <v>15</v>
      </c>
      <c r="F798" t="s">
        <v>16</v>
      </c>
      <c r="G798">
        <v>72.2</v>
      </c>
      <c r="H798" s="1">
        <v>39394</v>
      </c>
      <c r="I798" t="s">
        <v>38</v>
      </c>
      <c r="J798">
        <v>80210</v>
      </c>
      <c r="K798" t="s">
        <v>38</v>
      </c>
      <c r="L798" s="3" t="s">
        <v>21</v>
      </c>
      <c r="M798" cm="1">
        <f t="array" ref="M798">_xlfn.IFS(L797="A", 4, L797="B", 3, L797="C", 2, L797="D", 1)</f>
        <v>4</v>
      </c>
    </row>
    <row r="799" spans="1:13" hidden="1" x14ac:dyDescent="0.2">
      <c r="A799">
        <v>2022</v>
      </c>
      <c r="B799">
        <v>80210</v>
      </c>
      <c r="C799" t="s">
        <v>74</v>
      </c>
      <c r="D799" t="s">
        <v>91</v>
      </c>
      <c r="E799" t="s">
        <v>15</v>
      </c>
      <c r="F799" t="s">
        <v>16</v>
      </c>
      <c r="G799">
        <v>72.2</v>
      </c>
      <c r="H799" s="1">
        <v>39394</v>
      </c>
      <c r="I799" t="s">
        <v>39</v>
      </c>
      <c r="J799">
        <v>80210</v>
      </c>
      <c r="K799" t="s">
        <v>39</v>
      </c>
      <c r="L799" s="3" t="s">
        <v>21</v>
      </c>
      <c r="M799" cm="1">
        <f t="array" ref="M799">_xlfn.IFS(L798="A", 4, L798="B", 3, L798="C", 2, L798="D", 1)</f>
        <v>2</v>
      </c>
    </row>
    <row r="800" spans="1:13" hidden="1" x14ac:dyDescent="0.2">
      <c r="A800">
        <v>2022</v>
      </c>
      <c r="B800">
        <v>80210</v>
      </c>
      <c r="C800" t="s">
        <v>74</v>
      </c>
      <c r="D800" t="s">
        <v>91</v>
      </c>
      <c r="E800" t="s">
        <v>15</v>
      </c>
      <c r="F800" t="s">
        <v>16</v>
      </c>
      <c r="G800">
        <v>72.2</v>
      </c>
      <c r="H800" s="1">
        <v>39394</v>
      </c>
      <c r="I800" t="s">
        <v>40</v>
      </c>
      <c r="J800">
        <v>80210</v>
      </c>
      <c r="K800" t="s">
        <v>40</v>
      </c>
      <c r="L800" s="3" t="s">
        <v>21</v>
      </c>
      <c r="M800" cm="1">
        <f t="array" ref="M800">_xlfn.IFS(L799="A", 4, L799="B", 3, L799="C", 2, L799="D", 1)</f>
        <v>2</v>
      </c>
    </row>
    <row r="801" spans="1:13" hidden="1" x14ac:dyDescent="0.2">
      <c r="A801">
        <v>2022</v>
      </c>
      <c r="B801">
        <v>80210</v>
      </c>
      <c r="C801" t="s">
        <v>74</v>
      </c>
      <c r="D801" t="s">
        <v>91</v>
      </c>
      <c r="E801" t="s">
        <v>15</v>
      </c>
      <c r="F801" t="s">
        <v>16</v>
      </c>
      <c r="G801">
        <v>72.2</v>
      </c>
      <c r="H801" s="1">
        <v>39394</v>
      </c>
      <c r="I801" t="s">
        <v>41</v>
      </c>
      <c r="J801">
        <v>80210</v>
      </c>
      <c r="K801" t="s">
        <v>41</v>
      </c>
      <c r="L801" s="3" t="s">
        <v>21</v>
      </c>
      <c r="M801" cm="1">
        <f t="array" ref="M801">_xlfn.IFS(L800="A", 4, L800="B", 3, L800="C", 2, L800="D", 1)</f>
        <v>2</v>
      </c>
    </row>
    <row r="802" spans="1:13" hidden="1" x14ac:dyDescent="0.2">
      <c r="A802">
        <v>2022</v>
      </c>
      <c r="B802">
        <v>80210</v>
      </c>
      <c r="C802" t="s">
        <v>74</v>
      </c>
      <c r="D802" t="s">
        <v>91</v>
      </c>
      <c r="E802" t="s">
        <v>15</v>
      </c>
      <c r="F802" t="s">
        <v>16</v>
      </c>
      <c r="G802">
        <v>72.2</v>
      </c>
      <c r="H802" s="1">
        <v>39394</v>
      </c>
      <c r="I802" t="s">
        <v>42</v>
      </c>
      <c r="J802">
        <v>80210</v>
      </c>
      <c r="K802" t="s">
        <v>42</v>
      </c>
      <c r="L802" s="3" t="s">
        <v>18</v>
      </c>
      <c r="M802" cm="1">
        <f t="array" ref="M802">_xlfn.IFS(L801="A", 4, L801="B", 3, L801="C", 2, L801="D", 1)</f>
        <v>2</v>
      </c>
    </row>
    <row r="803" spans="1:13" hidden="1" x14ac:dyDescent="0.2">
      <c r="A803">
        <v>2023</v>
      </c>
      <c r="B803">
        <v>80210</v>
      </c>
      <c r="C803" t="s">
        <v>13</v>
      </c>
      <c r="D803" t="s">
        <v>92</v>
      </c>
      <c r="E803" t="s">
        <v>15</v>
      </c>
      <c r="F803" t="s">
        <v>16</v>
      </c>
      <c r="G803">
        <v>24.3</v>
      </c>
      <c r="H803" s="1">
        <v>39394</v>
      </c>
      <c r="I803" t="s">
        <v>38</v>
      </c>
      <c r="J803">
        <v>80210</v>
      </c>
      <c r="K803" t="s">
        <v>38</v>
      </c>
      <c r="L803" s="3" t="s">
        <v>21</v>
      </c>
      <c r="M803" cm="1">
        <f t="array" ref="M803">_xlfn.IFS(L802="A", 4, L802="B", 3, L802="C", 2, L802="D", 1)</f>
        <v>4</v>
      </c>
    </row>
    <row r="804" spans="1:13" hidden="1" x14ac:dyDescent="0.2">
      <c r="A804">
        <v>2023</v>
      </c>
      <c r="B804">
        <v>80210</v>
      </c>
      <c r="C804" t="s">
        <v>13</v>
      </c>
      <c r="D804" t="s">
        <v>92</v>
      </c>
      <c r="E804" t="s">
        <v>15</v>
      </c>
      <c r="F804" t="s">
        <v>16</v>
      </c>
      <c r="G804">
        <v>24.3</v>
      </c>
      <c r="H804" s="1">
        <v>39394</v>
      </c>
      <c r="I804" t="s">
        <v>39</v>
      </c>
      <c r="J804">
        <v>80210</v>
      </c>
      <c r="K804" t="s">
        <v>39</v>
      </c>
      <c r="L804" s="3" t="s">
        <v>21</v>
      </c>
      <c r="M804" cm="1">
        <f t="array" ref="M804">_xlfn.IFS(L803="A", 4, L803="B", 3, L803="C", 2, L803="D", 1)</f>
        <v>2</v>
      </c>
    </row>
    <row r="805" spans="1:13" hidden="1" x14ac:dyDescent="0.2">
      <c r="A805">
        <v>2023</v>
      </c>
      <c r="B805">
        <v>80210</v>
      </c>
      <c r="C805" t="s">
        <v>13</v>
      </c>
      <c r="D805" t="s">
        <v>92</v>
      </c>
      <c r="E805" t="s">
        <v>15</v>
      </c>
      <c r="F805" t="s">
        <v>16</v>
      </c>
      <c r="G805">
        <v>24.3</v>
      </c>
      <c r="H805" s="1">
        <v>39394</v>
      </c>
      <c r="I805" t="s">
        <v>40</v>
      </c>
      <c r="J805">
        <v>80210</v>
      </c>
      <c r="K805" t="s">
        <v>40</v>
      </c>
      <c r="L805" s="3" t="s">
        <v>21</v>
      </c>
      <c r="M805" cm="1">
        <f t="array" ref="M805">_xlfn.IFS(L804="A", 4, L804="B", 3, L804="C", 2, L804="D", 1)</f>
        <v>2</v>
      </c>
    </row>
    <row r="806" spans="1:13" hidden="1" x14ac:dyDescent="0.2">
      <c r="A806">
        <v>2023</v>
      </c>
      <c r="B806">
        <v>80210</v>
      </c>
      <c r="C806" t="s">
        <v>13</v>
      </c>
      <c r="D806" t="s">
        <v>92</v>
      </c>
      <c r="E806" t="s">
        <v>15</v>
      </c>
      <c r="F806" t="s">
        <v>16</v>
      </c>
      <c r="G806">
        <v>24.3</v>
      </c>
      <c r="H806" s="1">
        <v>39394</v>
      </c>
      <c r="I806" t="s">
        <v>41</v>
      </c>
      <c r="J806">
        <v>80210</v>
      </c>
      <c r="K806" t="s">
        <v>41</v>
      </c>
      <c r="L806" s="3" t="s">
        <v>21</v>
      </c>
      <c r="M806" cm="1">
        <f t="array" ref="M806">_xlfn.IFS(L805="A", 4, L805="B", 3, L805="C", 2, L805="D", 1)</f>
        <v>2</v>
      </c>
    </row>
    <row r="807" spans="1:13" hidden="1" x14ac:dyDescent="0.2">
      <c r="A807">
        <v>2023</v>
      </c>
      <c r="B807">
        <v>80210</v>
      </c>
      <c r="C807" t="s">
        <v>13</v>
      </c>
      <c r="D807" t="s">
        <v>92</v>
      </c>
      <c r="E807" t="s">
        <v>15</v>
      </c>
      <c r="F807" t="s">
        <v>16</v>
      </c>
      <c r="G807">
        <v>24.3</v>
      </c>
      <c r="H807" s="1">
        <v>39394</v>
      </c>
      <c r="I807" t="s">
        <v>42</v>
      </c>
      <c r="J807">
        <v>80210</v>
      </c>
      <c r="K807" t="s">
        <v>42</v>
      </c>
      <c r="L807" s="3" t="s">
        <v>18</v>
      </c>
      <c r="M807" cm="1">
        <f t="array" ref="M807">_xlfn.IFS(L806="A", 4, L806="B", 3, L806="C", 2, L806="D", 1)</f>
        <v>2</v>
      </c>
    </row>
    <row r="808" spans="1:13" hidden="1" x14ac:dyDescent="0.2">
      <c r="A808">
        <v>2023</v>
      </c>
      <c r="B808">
        <v>80210</v>
      </c>
      <c r="C808" t="s">
        <v>13</v>
      </c>
      <c r="D808" t="s">
        <v>14</v>
      </c>
      <c r="E808" t="s">
        <v>15</v>
      </c>
      <c r="F808" t="s">
        <v>16</v>
      </c>
      <c r="G808">
        <v>5</v>
      </c>
      <c r="H808" s="1">
        <v>39394</v>
      </c>
      <c r="I808" t="s">
        <v>38</v>
      </c>
      <c r="J808">
        <v>80210</v>
      </c>
      <c r="K808" t="s">
        <v>38</v>
      </c>
      <c r="L808" s="3" t="s">
        <v>21</v>
      </c>
      <c r="M808" cm="1">
        <f t="array" ref="M808">_xlfn.IFS(L807="A", 4, L807="B", 3, L807="C", 2, L807="D", 1)</f>
        <v>4</v>
      </c>
    </row>
    <row r="809" spans="1:13" hidden="1" x14ac:dyDescent="0.2">
      <c r="A809">
        <v>2023</v>
      </c>
      <c r="B809">
        <v>80210</v>
      </c>
      <c r="C809" t="s">
        <v>13</v>
      </c>
      <c r="D809" t="s">
        <v>14</v>
      </c>
      <c r="E809" t="s">
        <v>15</v>
      </c>
      <c r="F809" t="s">
        <v>16</v>
      </c>
      <c r="G809">
        <v>5</v>
      </c>
      <c r="H809" s="1">
        <v>39394</v>
      </c>
      <c r="I809" t="s">
        <v>39</v>
      </c>
      <c r="J809">
        <v>80210</v>
      </c>
      <c r="K809" t="s">
        <v>39</v>
      </c>
      <c r="L809" s="3" t="s">
        <v>21</v>
      </c>
      <c r="M809" cm="1">
        <f t="array" ref="M809">_xlfn.IFS(L808="A", 4, L808="B", 3, L808="C", 2, L808="D", 1)</f>
        <v>2</v>
      </c>
    </row>
    <row r="810" spans="1:13" hidden="1" x14ac:dyDescent="0.2">
      <c r="A810">
        <v>2023</v>
      </c>
      <c r="B810">
        <v>80210</v>
      </c>
      <c r="C810" t="s">
        <v>13</v>
      </c>
      <c r="D810" t="s">
        <v>14</v>
      </c>
      <c r="E810" t="s">
        <v>15</v>
      </c>
      <c r="F810" t="s">
        <v>16</v>
      </c>
      <c r="G810">
        <v>5</v>
      </c>
      <c r="H810" s="1">
        <v>39394</v>
      </c>
      <c r="I810" t="s">
        <v>40</v>
      </c>
      <c r="J810">
        <v>80210</v>
      </c>
      <c r="K810" t="s">
        <v>40</v>
      </c>
      <c r="L810" s="3" t="s">
        <v>21</v>
      </c>
      <c r="M810" cm="1">
        <f t="array" ref="M810">_xlfn.IFS(L809="A", 4, L809="B", 3, L809="C", 2, L809="D", 1)</f>
        <v>2</v>
      </c>
    </row>
    <row r="811" spans="1:13" hidden="1" x14ac:dyDescent="0.2">
      <c r="A811">
        <v>2023</v>
      </c>
      <c r="B811">
        <v>80210</v>
      </c>
      <c r="C811" t="s">
        <v>13</v>
      </c>
      <c r="D811" t="s">
        <v>14</v>
      </c>
      <c r="E811" t="s">
        <v>15</v>
      </c>
      <c r="F811" t="s">
        <v>16</v>
      </c>
      <c r="G811">
        <v>5</v>
      </c>
      <c r="H811" s="1">
        <v>39394</v>
      </c>
      <c r="I811" t="s">
        <v>41</v>
      </c>
      <c r="J811">
        <v>80210</v>
      </c>
      <c r="K811" t="s">
        <v>41</v>
      </c>
      <c r="L811" s="3" t="s">
        <v>21</v>
      </c>
      <c r="M811" cm="1">
        <f t="array" ref="M811">_xlfn.IFS(L810="A", 4, L810="B", 3, L810="C", 2, L810="D", 1)</f>
        <v>2</v>
      </c>
    </row>
    <row r="812" spans="1:13" hidden="1" x14ac:dyDescent="0.2">
      <c r="A812">
        <v>2023</v>
      </c>
      <c r="B812">
        <v>80210</v>
      </c>
      <c r="C812" t="s">
        <v>13</v>
      </c>
      <c r="D812" t="s">
        <v>14</v>
      </c>
      <c r="E812" t="s">
        <v>15</v>
      </c>
      <c r="F812" t="s">
        <v>16</v>
      </c>
      <c r="G812">
        <v>5</v>
      </c>
      <c r="H812" s="1">
        <v>39394</v>
      </c>
      <c r="I812" t="s">
        <v>42</v>
      </c>
      <c r="J812">
        <v>80210</v>
      </c>
      <c r="K812" t="s">
        <v>42</v>
      </c>
      <c r="L812" s="3" t="s">
        <v>18</v>
      </c>
      <c r="M812" cm="1">
        <f t="array" ref="M812">_xlfn.IFS(L811="A", 4, L811="B", 3, L811="C", 2, L811="D", 1)</f>
        <v>2</v>
      </c>
    </row>
    <row r="813" spans="1:13" hidden="1" x14ac:dyDescent="0.2">
      <c r="A813">
        <v>2023</v>
      </c>
      <c r="B813">
        <v>80210</v>
      </c>
      <c r="C813" t="s">
        <v>86</v>
      </c>
      <c r="D813" t="s">
        <v>93</v>
      </c>
      <c r="E813" t="s">
        <v>15</v>
      </c>
      <c r="F813" t="s">
        <v>16</v>
      </c>
      <c r="G813">
        <v>21.1</v>
      </c>
      <c r="H813" s="1">
        <v>39394</v>
      </c>
      <c r="I813" t="s">
        <v>38</v>
      </c>
      <c r="J813">
        <v>80210</v>
      </c>
      <c r="K813" t="s">
        <v>38</v>
      </c>
      <c r="L813" s="3" t="s">
        <v>21</v>
      </c>
      <c r="M813" cm="1">
        <f t="array" ref="M813">_xlfn.IFS(L812="A", 4, L812="B", 3, L812="C", 2, L812="D", 1)</f>
        <v>4</v>
      </c>
    </row>
    <row r="814" spans="1:13" hidden="1" x14ac:dyDescent="0.2">
      <c r="A814">
        <v>2023</v>
      </c>
      <c r="B814">
        <v>80210</v>
      </c>
      <c r="C814" t="s">
        <v>86</v>
      </c>
      <c r="D814" t="s">
        <v>93</v>
      </c>
      <c r="E814" t="s">
        <v>15</v>
      </c>
      <c r="F814" t="s">
        <v>16</v>
      </c>
      <c r="G814">
        <v>21.1</v>
      </c>
      <c r="H814" s="1">
        <v>39394</v>
      </c>
      <c r="I814" t="s">
        <v>39</v>
      </c>
      <c r="J814">
        <v>80210</v>
      </c>
      <c r="K814" t="s">
        <v>39</v>
      </c>
      <c r="L814" s="3" t="s">
        <v>21</v>
      </c>
      <c r="M814" cm="1">
        <f t="array" ref="M814">_xlfn.IFS(L813="A", 4, L813="B", 3, L813="C", 2, L813="D", 1)</f>
        <v>2</v>
      </c>
    </row>
    <row r="815" spans="1:13" hidden="1" x14ac:dyDescent="0.2">
      <c r="A815">
        <v>2023</v>
      </c>
      <c r="B815">
        <v>80210</v>
      </c>
      <c r="C815" t="s">
        <v>86</v>
      </c>
      <c r="D815" t="s">
        <v>93</v>
      </c>
      <c r="E815" t="s">
        <v>15</v>
      </c>
      <c r="F815" t="s">
        <v>16</v>
      </c>
      <c r="G815">
        <v>21.1</v>
      </c>
      <c r="H815" s="1">
        <v>39394</v>
      </c>
      <c r="I815" t="s">
        <v>40</v>
      </c>
      <c r="J815">
        <v>80210</v>
      </c>
      <c r="K815" t="s">
        <v>40</v>
      </c>
      <c r="L815" s="3" t="s">
        <v>21</v>
      </c>
      <c r="M815" cm="1">
        <f t="array" ref="M815">_xlfn.IFS(L814="A", 4, L814="B", 3, L814="C", 2, L814="D", 1)</f>
        <v>2</v>
      </c>
    </row>
    <row r="816" spans="1:13" hidden="1" x14ac:dyDescent="0.2">
      <c r="A816">
        <v>2023</v>
      </c>
      <c r="B816">
        <v>80210</v>
      </c>
      <c r="C816" t="s">
        <v>86</v>
      </c>
      <c r="D816" t="s">
        <v>93</v>
      </c>
      <c r="E816" t="s">
        <v>15</v>
      </c>
      <c r="F816" t="s">
        <v>16</v>
      </c>
      <c r="G816">
        <v>21.1</v>
      </c>
      <c r="H816" s="1">
        <v>39394</v>
      </c>
      <c r="I816" t="s">
        <v>41</v>
      </c>
      <c r="J816">
        <v>80210</v>
      </c>
      <c r="K816" t="s">
        <v>41</v>
      </c>
      <c r="L816" s="3" t="s">
        <v>21</v>
      </c>
      <c r="M816" cm="1">
        <f t="array" ref="M816">_xlfn.IFS(L815="A", 4, L815="B", 3, L815="C", 2, L815="D", 1)</f>
        <v>2</v>
      </c>
    </row>
    <row r="817" spans="1:13" hidden="1" x14ac:dyDescent="0.2">
      <c r="A817">
        <v>2023</v>
      </c>
      <c r="B817">
        <v>80210</v>
      </c>
      <c r="C817" t="s">
        <v>86</v>
      </c>
      <c r="D817" t="s">
        <v>93</v>
      </c>
      <c r="E817" t="s">
        <v>15</v>
      </c>
      <c r="F817" t="s">
        <v>16</v>
      </c>
      <c r="G817">
        <v>21.1</v>
      </c>
      <c r="H817" s="1">
        <v>39394</v>
      </c>
      <c r="I817" t="s">
        <v>42</v>
      </c>
      <c r="J817">
        <v>80210</v>
      </c>
      <c r="K817" t="s">
        <v>42</v>
      </c>
      <c r="L817" s="3" t="s">
        <v>18</v>
      </c>
      <c r="M817" cm="1">
        <f t="array" ref="M817">_xlfn.IFS(L816="A", 4, L816="B", 3, L816="C", 2, L816="D", 1)</f>
        <v>2</v>
      </c>
    </row>
    <row r="818" spans="1:13" hidden="1" x14ac:dyDescent="0.2">
      <c r="A818">
        <v>2023</v>
      </c>
      <c r="B818">
        <v>80210</v>
      </c>
      <c r="C818" t="s">
        <v>94</v>
      </c>
      <c r="D818" t="s">
        <v>95</v>
      </c>
      <c r="E818" t="s">
        <v>15</v>
      </c>
      <c r="F818" t="s">
        <v>16</v>
      </c>
      <c r="G818">
        <v>10</v>
      </c>
      <c r="H818" s="1">
        <v>39394</v>
      </c>
      <c r="I818" t="s">
        <v>38</v>
      </c>
      <c r="J818">
        <v>80210</v>
      </c>
      <c r="K818" t="s">
        <v>38</v>
      </c>
      <c r="L818" s="3" t="s">
        <v>21</v>
      </c>
      <c r="M818" cm="1">
        <f t="array" ref="M818">_xlfn.IFS(L817="A", 4, L817="B", 3, L817="C", 2, L817="D", 1)</f>
        <v>4</v>
      </c>
    </row>
    <row r="819" spans="1:13" hidden="1" x14ac:dyDescent="0.2">
      <c r="A819">
        <v>2023</v>
      </c>
      <c r="B819">
        <v>80210</v>
      </c>
      <c r="C819" t="s">
        <v>94</v>
      </c>
      <c r="D819" t="s">
        <v>95</v>
      </c>
      <c r="E819" t="s">
        <v>15</v>
      </c>
      <c r="F819" t="s">
        <v>16</v>
      </c>
      <c r="G819">
        <v>10</v>
      </c>
      <c r="H819" s="1">
        <v>39394</v>
      </c>
      <c r="I819" t="s">
        <v>39</v>
      </c>
      <c r="J819">
        <v>80210</v>
      </c>
      <c r="K819" t="s">
        <v>39</v>
      </c>
      <c r="L819" s="3" t="s">
        <v>21</v>
      </c>
      <c r="M819" cm="1">
        <f t="array" ref="M819">_xlfn.IFS(L818="A", 4, L818="B", 3, L818="C", 2, L818="D", 1)</f>
        <v>2</v>
      </c>
    </row>
    <row r="820" spans="1:13" hidden="1" x14ac:dyDescent="0.2">
      <c r="A820">
        <v>2023</v>
      </c>
      <c r="B820">
        <v>80210</v>
      </c>
      <c r="C820" t="s">
        <v>94</v>
      </c>
      <c r="D820" t="s">
        <v>95</v>
      </c>
      <c r="E820" t="s">
        <v>15</v>
      </c>
      <c r="F820" t="s">
        <v>16</v>
      </c>
      <c r="G820">
        <v>10</v>
      </c>
      <c r="H820" s="1">
        <v>39394</v>
      </c>
      <c r="I820" t="s">
        <v>40</v>
      </c>
      <c r="J820">
        <v>80210</v>
      </c>
      <c r="K820" t="s">
        <v>40</v>
      </c>
      <c r="L820" s="3" t="s">
        <v>21</v>
      </c>
      <c r="M820" cm="1">
        <f t="array" ref="M820">_xlfn.IFS(L819="A", 4, L819="B", 3, L819="C", 2, L819="D", 1)</f>
        <v>2</v>
      </c>
    </row>
    <row r="821" spans="1:13" hidden="1" x14ac:dyDescent="0.2">
      <c r="A821">
        <v>2023</v>
      </c>
      <c r="B821">
        <v>80210</v>
      </c>
      <c r="C821" t="s">
        <v>94</v>
      </c>
      <c r="D821" t="s">
        <v>95</v>
      </c>
      <c r="E821" t="s">
        <v>15</v>
      </c>
      <c r="F821" t="s">
        <v>16</v>
      </c>
      <c r="G821">
        <v>10</v>
      </c>
      <c r="H821" s="1">
        <v>39394</v>
      </c>
      <c r="I821" t="s">
        <v>41</v>
      </c>
      <c r="J821">
        <v>80210</v>
      </c>
      <c r="K821" t="s">
        <v>41</v>
      </c>
      <c r="L821" s="3" t="s">
        <v>21</v>
      </c>
      <c r="M821" cm="1">
        <f t="array" ref="M821">_xlfn.IFS(L820="A", 4, L820="B", 3, L820="C", 2, L820="D", 1)</f>
        <v>2</v>
      </c>
    </row>
    <row r="822" spans="1:13" hidden="1" x14ac:dyDescent="0.2">
      <c r="A822">
        <v>2023</v>
      </c>
      <c r="B822">
        <v>80210</v>
      </c>
      <c r="C822" t="s">
        <v>94</v>
      </c>
      <c r="D822" t="s">
        <v>95</v>
      </c>
      <c r="E822" t="s">
        <v>15</v>
      </c>
      <c r="F822" t="s">
        <v>16</v>
      </c>
      <c r="G822">
        <v>10</v>
      </c>
      <c r="H822" s="1">
        <v>39394</v>
      </c>
      <c r="I822" t="s">
        <v>42</v>
      </c>
      <c r="J822">
        <v>80210</v>
      </c>
      <c r="K822" t="s">
        <v>42</v>
      </c>
      <c r="L822" s="3" t="s">
        <v>18</v>
      </c>
      <c r="M822" cm="1">
        <f t="array" ref="M822">_xlfn.IFS(L821="A", 4, L821="B", 3, L821="C", 2, L821="D", 1)</f>
        <v>2</v>
      </c>
    </row>
    <row r="823" spans="1:13" hidden="1" x14ac:dyDescent="0.2">
      <c r="A823">
        <v>2023</v>
      </c>
      <c r="B823">
        <v>80210</v>
      </c>
      <c r="C823" t="s">
        <v>86</v>
      </c>
      <c r="D823" t="s">
        <v>96</v>
      </c>
      <c r="E823" t="s">
        <v>15</v>
      </c>
      <c r="F823" t="s">
        <v>16</v>
      </c>
      <c r="G823">
        <v>4.5</v>
      </c>
      <c r="H823" s="1">
        <v>39394</v>
      </c>
      <c r="I823" t="s">
        <v>38</v>
      </c>
      <c r="J823">
        <v>80210</v>
      </c>
      <c r="K823" t="s">
        <v>38</v>
      </c>
      <c r="L823" s="3" t="s">
        <v>21</v>
      </c>
      <c r="M823" cm="1">
        <f t="array" ref="M823">_xlfn.IFS(L822="A", 4, L822="B", 3, L822="C", 2, L822="D", 1)</f>
        <v>4</v>
      </c>
    </row>
    <row r="824" spans="1:13" hidden="1" x14ac:dyDescent="0.2">
      <c r="A824">
        <v>2023</v>
      </c>
      <c r="B824">
        <v>80210</v>
      </c>
      <c r="C824" t="s">
        <v>86</v>
      </c>
      <c r="D824" t="s">
        <v>96</v>
      </c>
      <c r="E824" t="s">
        <v>15</v>
      </c>
      <c r="F824" t="s">
        <v>16</v>
      </c>
      <c r="G824">
        <v>4.5</v>
      </c>
      <c r="H824" s="1">
        <v>39394</v>
      </c>
      <c r="I824" t="s">
        <v>39</v>
      </c>
      <c r="J824">
        <v>80210</v>
      </c>
      <c r="K824" t="s">
        <v>39</v>
      </c>
      <c r="L824" s="3" t="s">
        <v>21</v>
      </c>
      <c r="M824" cm="1">
        <f t="array" ref="M824">_xlfn.IFS(L823="A", 4, L823="B", 3, L823="C", 2, L823="D", 1)</f>
        <v>2</v>
      </c>
    </row>
    <row r="825" spans="1:13" hidden="1" x14ac:dyDescent="0.2">
      <c r="A825">
        <v>2023</v>
      </c>
      <c r="B825">
        <v>80210</v>
      </c>
      <c r="C825" t="s">
        <v>86</v>
      </c>
      <c r="D825" t="s">
        <v>96</v>
      </c>
      <c r="E825" t="s">
        <v>15</v>
      </c>
      <c r="F825" t="s">
        <v>16</v>
      </c>
      <c r="G825">
        <v>4.5</v>
      </c>
      <c r="H825" s="1">
        <v>39394</v>
      </c>
      <c r="I825" t="s">
        <v>40</v>
      </c>
      <c r="J825">
        <v>80210</v>
      </c>
      <c r="K825" t="s">
        <v>40</v>
      </c>
      <c r="L825" s="3" t="s">
        <v>21</v>
      </c>
      <c r="M825" cm="1">
        <f t="array" ref="M825">_xlfn.IFS(L824="A", 4, L824="B", 3, L824="C", 2, L824="D", 1)</f>
        <v>2</v>
      </c>
    </row>
    <row r="826" spans="1:13" hidden="1" x14ac:dyDescent="0.2">
      <c r="A826">
        <v>2023</v>
      </c>
      <c r="B826">
        <v>80210</v>
      </c>
      <c r="C826" t="s">
        <v>86</v>
      </c>
      <c r="D826" t="s">
        <v>96</v>
      </c>
      <c r="E826" t="s">
        <v>15</v>
      </c>
      <c r="F826" t="s">
        <v>16</v>
      </c>
      <c r="G826">
        <v>4.5</v>
      </c>
      <c r="H826" s="1">
        <v>39394</v>
      </c>
      <c r="I826" t="s">
        <v>41</v>
      </c>
      <c r="J826">
        <v>80210</v>
      </c>
      <c r="K826" t="s">
        <v>41</v>
      </c>
      <c r="L826" s="3" t="s">
        <v>21</v>
      </c>
      <c r="M826" cm="1">
        <f t="array" ref="M826">_xlfn.IFS(L825="A", 4, L825="B", 3, L825="C", 2, L825="D", 1)</f>
        <v>2</v>
      </c>
    </row>
    <row r="827" spans="1:13" hidden="1" x14ac:dyDescent="0.2">
      <c r="A827">
        <v>2023</v>
      </c>
      <c r="B827">
        <v>80210</v>
      </c>
      <c r="C827" t="s">
        <v>86</v>
      </c>
      <c r="D827" t="s">
        <v>96</v>
      </c>
      <c r="E827" t="s">
        <v>15</v>
      </c>
      <c r="F827" t="s">
        <v>16</v>
      </c>
      <c r="G827">
        <v>4.5</v>
      </c>
      <c r="H827" s="1">
        <v>39394</v>
      </c>
      <c r="I827" t="s">
        <v>42</v>
      </c>
      <c r="J827">
        <v>80210</v>
      </c>
      <c r="K827" t="s">
        <v>42</v>
      </c>
      <c r="L827" s="3" t="s">
        <v>18</v>
      </c>
      <c r="M827" cm="1">
        <f t="array" ref="M827">_xlfn.IFS(L826="A", 4, L826="B", 3, L826="C", 2, L826="D", 1)</f>
        <v>2</v>
      </c>
    </row>
    <row r="828" spans="1:13" hidden="1" x14ac:dyDescent="0.2">
      <c r="A828">
        <v>2023</v>
      </c>
      <c r="B828">
        <v>80210</v>
      </c>
      <c r="C828" t="s">
        <v>13</v>
      </c>
      <c r="D828" t="s">
        <v>97</v>
      </c>
      <c r="E828" t="s">
        <v>15</v>
      </c>
      <c r="F828" t="s">
        <v>16</v>
      </c>
      <c r="G828">
        <v>26.3</v>
      </c>
      <c r="H828" s="1">
        <v>39394</v>
      </c>
      <c r="I828" t="s">
        <v>38</v>
      </c>
      <c r="J828">
        <v>80210</v>
      </c>
      <c r="K828" t="s">
        <v>38</v>
      </c>
      <c r="L828" s="3" t="s">
        <v>21</v>
      </c>
      <c r="M828" cm="1">
        <f t="array" ref="M828">_xlfn.IFS(L827="A", 4, L827="B", 3, L827="C", 2, L827="D", 1)</f>
        <v>4</v>
      </c>
    </row>
    <row r="829" spans="1:13" hidden="1" x14ac:dyDescent="0.2">
      <c r="A829">
        <v>2023</v>
      </c>
      <c r="B829">
        <v>80210</v>
      </c>
      <c r="C829" t="s">
        <v>13</v>
      </c>
      <c r="D829" t="s">
        <v>97</v>
      </c>
      <c r="E829" t="s">
        <v>15</v>
      </c>
      <c r="F829" t="s">
        <v>16</v>
      </c>
      <c r="G829">
        <v>26.3</v>
      </c>
      <c r="H829" s="1">
        <v>39394</v>
      </c>
      <c r="I829" t="s">
        <v>39</v>
      </c>
      <c r="J829">
        <v>80210</v>
      </c>
      <c r="K829" t="s">
        <v>39</v>
      </c>
      <c r="L829" s="3" t="s">
        <v>21</v>
      </c>
      <c r="M829" cm="1">
        <f t="array" ref="M829">_xlfn.IFS(L828="A", 4, L828="B", 3, L828="C", 2, L828="D", 1)</f>
        <v>2</v>
      </c>
    </row>
    <row r="830" spans="1:13" hidden="1" x14ac:dyDescent="0.2">
      <c r="A830">
        <v>2023</v>
      </c>
      <c r="B830">
        <v>80210</v>
      </c>
      <c r="C830" t="s">
        <v>13</v>
      </c>
      <c r="D830" t="s">
        <v>97</v>
      </c>
      <c r="E830" t="s">
        <v>15</v>
      </c>
      <c r="F830" t="s">
        <v>16</v>
      </c>
      <c r="G830">
        <v>26.3</v>
      </c>
      <c r="H830" s="1">
        <v>39394</v>
      </c>
      <c r="I830" t="s">
        <v>40</v>
      </c>
      <c r="J830">
        <v>80210</v>
      </c>
      <c r="K830" t="s">
        <v>40</v>
      </c>
      <c r="L830" s="3" t="s">
        <v>21</v>
      </c>
      <c r="M830" cm="1">
        <f t="array" ref="M830">_xlfn.IFS(L829="A", 4, L829="B", 3, L829="C", 2, L829="D", 1)</f>
        <v>2</v>
      </c>
    </row>
    <row r="831" spans="1:13" hidden="1" x14ac:dyDescent="0.2">
      <c r="A831">
        <v>2023</v>
      </c>
      <c r="B831">
        <v>80210</v>
      </c>
      <c r="C831" t="s">
        <v>13</v>
      </c>
      <c r="D831" t="s">
        <v>97</v>
      </c>
      <c r="E831" t="s">
        <v>15</v>
      </c>
      <c r="F831" t="s">
        <v>16</v>
      </c>
      <c r="G831">
        <v>26.3</v>
      </c>
      <c r="H831" s="1">
        <v>39394</v>
      </c>
      <c r="I831" t="s">
        <v>41</v>
      </c>
      <c r="J831">
        <v>80210</v>
      </c>
      <c r="K831" t="s">
        <v>41</v>
      </c>
      <c r="L831" s="3" t="s">
        <v>21</v>
      </c>
      <c r="M831" cm="1">
        <f t="array" ref="M831">_xlfn.IFS(L830="A", 4, L830="B", 3, L830="C", 2, L830="D", 1)</f>
        <v>2</v>
      </c>
    </row>
    <row r="832" spans="1:13" hidden="1" x14ac:dyDescent="0.2">
      <c r="A832">
        <v>2023</v>
      </c>
      <c r="B832">
        <v>80210</v>
      </c>
      <c r="C832" t="s">
        <v>13</v>
      </c>
      <c r="D832" t="s">
        <v>97</v>
      </c>
      <c r="E832" t="s">
        <v>15</v>
      </c>
      <c r="F832" t="s">
        <v>16</v>
      </c>
      <c r="G832">
        <v>26.3</v>
      </c>
      <c r="H832" s="1">
        <v>39394</v>
      </c>
      <c r="I832" t="s">
        <v>42</v>
      </c>
      <c r="J832">
        <v>80210</v>
      </c>
      <c r="K832" t="s">
        <v>42</v>
      </c>
      <c r="L832" s="3" t="s">
        <v>18</v>
      </c>
      <c r="M832" cm="1">
        <f t="array" ref="M832">_xlfn.IFS(L831="A", 4, L831="B", 3, L831="C", 2, L831="D", 1)</f>
        <v>2</v>
      </c>
    </row>
    <row r="833" spans="1:13" hidden="1" x14ac:dyDescent="0.2">
      <c r="A833">
        <v>2023</v>
      </c>
      <c r="B833">
        <v>80210</v>
      </c>
      <c r="C833" t="s">
        <v>86</v>
      </c>
      <c r="D833" t="s">
        <v>98</v>
      </c>
      <c r="E833" t="s">
        <v>15</v>
      </c>
      <c r="F833" t="s">
        <v>16</v>
      </c>
      <c r="G833">
        <v>5.2</v>
      </c>
      <c r="H833" s="1">
        <v>39394</v>
      </c>
      <c r="I833" t="s">
        <v>38</v>
      </c>
      <c r="J833">
        <v>80210</v>
      </c>
      <c r="K833" t="s">
        <v>38</v>
      </c>
      <c r="L833" s="3" t="s">
        <v>21</v>
      </c>
      <c r="M833" cm="1">
        <f t="array" ref="M833">_xlfn.IFS(L832="A", 4, L832="B", 3, L832="C", 2, L832="D", 1)</f>
        <v>4</v>
      </c>
    </row>
    <row r="834" spans="1:13" hidden="1" x14ac:dyDescent="0.2">
      <c r="A834">
        <v>2023</v>
      </c>
      <c r="B834">
        <v>80210</v>
      </c>
      <c r="C834" t="s">
        <v>86</v>
      </c>
      <c r="D834" t="s">
        <v>98</v>
      </c>
      <c r="E834" t="s">
        <v>15</v>
      </c>
      <c r="F834" t="s">
        <v>16</v>
      </c>
      <c r="G834">
        <v>5.2</v>
      </c>
      <c r="H834" s="1">
        <v>39394</v>
      </c>
      <c r="I834" t="s">
        <v>39</v>
      </c>
      <c r="J834">
        <v>80210</v>
      </c>
      <c r="K834" t="s">
        <v>39</v>
      </c>
      <c r="L834" s="3" t="s">
        <v>21</v>
      </c>
      <c r="M834" cm="1">
        <f t="array" ref="M834">_xlfn.IFS(L833="A", 4, L833="B", 3, L833="C", 2, L833="D", 1)</f>
        <v>2</v>
      </c>
    </row>
    <row r="835" spans="1:13" hidden="1" x14ac:dyDescent="0.2">
      <c r="A835">
        <v>2023</v>
      </c>
      <c r="B835">
        <v>80210</v>
      </c>
      <c r="C835" t="s">
        <v>86</v>
      </c>
      <c r="D835" t="s">
        <v>98</v>
      </c>
      <c r="E835" t="s">
        <v>15</v>
      </c>
      <c r="F835" t="s">
        <v>16</v>
      </c>
      <c r="G835">
        <v>5.2</v>
      </c>
      <c r="H835" s="1">
        <v>39394</v>
      </c>
      <c r="I835" t="s">
        <v>40</v>
      </c>
      <c r="J835">
        <v>80210</v>
      </c>
      <c r="K835" t="s">
        <v>40</v>
      </c>
      <c r="L835" s="3" t="s">
        <v>21</v>
      </c>
      <c r="M835" cm="1">
        <f t="array" ref="M835">_xlfn.IFS(L834="A", 4, L834="B", 3, L834="C", 2, L834="D", 1)</f>
        <v>2</v>
      </c>
    </row>
    <row r="836" spans="1:13" hidden="1" x14ac:dyDescent="0.2">
      <c r="A836">
        <v>2023</v>
      </c>
      <c r="B836">
        <v>80210</v>
      </c>
      <c r="C836" t="s">
        <v>86</v>
      </c>
      <c r="D836" t="s">
        <v>98</v>
      </c>
      <c r="E836" t="s">
        <v>15</v>
      </c>
      <c r="F836" t="s">
        <v>16</v>
      </c>
      <c r="G836">
        <v>5.2</v>
      </c>
      <c r="H836" s="1">
        <v>39394</v>
      </c>
      <c r="I836" t="s">
        <v>41</v>
      </c>
      <c r="J836">
        <v>80210</v>
      </c>
      <c r="K836" t="s">
        <v>41</v>
      </c>
      <c r="L836" s="3" t="s">
        <v>21</v>
      </c>
      <c r="M836" cm="1">
        <f t="array" ref="M836">_xlfn.IFS(L835="A", 4, L835="B", 3, L835="C", 2, L835="D", 1)</f>
        <v>2</v>
      </c>
    </row>
    <row r="837" spans="1:13" hidden="1" x14ac:dyDescent="0.2">
      <c r="A837">
        <v>2023</v>
      </c>
      <c r="B837">
        <v>80210</v>
      </c>
      <c r="C837" t="s">
        <v>86</v>
      </c>
      <c r="D837" t="s">
        <v>98</v>
      </c>
      <c r="E837" t="s">
        <v>15</v>
      </c>
      <c r="F837" t="s">
        <v>16</v>
      </c>
      <c r="G837">
        <v>5.2</v>
      </c>
      <c r="H837" s="1">
        <v>39394</v>
      </c>
      <c r="I837" t="s">
        <v>42</v>
      </c>
      <c r="J837">
        <v>80210</v>
      </c>
      <c r="K837" t="s">
        <v>42</v>
      </c>
      <c r="L837" s="3" t="s">
        <v>18</v>
      </c>
      <c r="M837" cm="1">
        <f t="array" ref="M837">_xlfn.IFS(L836="A", 4, L836="B", 3, L836="C", 2, L836="D", 1)</f>
        <v>2</v>
      </c>
    </row>
    <row r="838" spans="1:13" hidden="1" x14ac:dyDescent="0.2">
      <c r="A838">
        <v>2023</v>
      </c>
      <c r="B838">
        <v>80210</v>
      </c>
      <c r="C838" t="s">
        <v>77</v>
      </c>
      <c r="D838" t="s">
        <v>99</v>
      </c>
      <c r="E838" t="s">
        <v>15</v>
      </c>
      <c r="F838" t="s">
        <v>16</v>
      </c>
      <c r="G838">
        <v>12</v>
      </c>
      <c r="H838" s="1">
        <v>39394</v>
      </c>
      <c r="I838" t="s">
        <v>38</v>
      </c>
      <c r="J838">
        <v>80210</v>
      </c>
      <c r="K838" t="s">
        <v>38</v>
      </c>
      <c r="L838" s="3" t="s">
        <v>21</v>
      </c>
      <c r="M838" cm="1">
        <f t="array" ref="M838">_xlfn.IFS(L837="A", 4, L837="B", 3, L837="C", 2, L837="D", 1)</f>
        <v>4</v>
      </c>
    </row>
    <row r="839" spans="1:13" hidden="1" x14ac:dyDescent="0.2">
      <c r="A839">
        <v>2023</v>
      </c>
      <c r="B839">
        <v>80210</v>
      </c>
      <c r="C839" t="s">
        <v>77</v>
      </c>
      <c r="D839" t="s">
        <v>99</v>
      </c>
      <c r="E839" t="s">
        <v>15</v>
      </c>
      <c r="F839" t="s">
        <v>16</v>
      </c>
      <c r="G839">
        <v>12</v>
      </c>
      <c r="H839" s="1">
        <v>39394</v>
      </c>
      <c r="I839" t="s">
        <v>39</v>
      </c>
      <c r="J839">
        <v>80210</v>
      </c>
      <c r="K839" t="s">
        <v>39</v>
      </c>
      <c r="L839" s="3" t="s">
        <v>21</v>
      </c>
      <c r="M839" cm="1">
        <f t="array" ref="M839">_xlfn.IFS(L838="A", 4, L838="B", 3, L838="C", 2, L838="D", 1)</f>
        <v>2</v>
      </c>
    </row>
    <row r="840" spans="1:13" hidden="1" x14ac:dyDescent="0.2">
      <c r="A840">
        <v>2023</v>
      </c>
      <c r="B840">
        <v>80210</v>
      </c>
      <c r="C840" t="s">
        <v>77</v>
      </c>
      <c r="D840" t="s">
        <v>99</v>
      </c>
      <c r="E840" t="s">
        <v>15</v>
      </c>
      <c r="F840" t="s">
        <v>16</v>
      </c>
      <c r="G840">
        <v>12</v>
      </c>
      <c r="H840" s="1">
        <v>39394</v>
      </c>
      <c r="I840" t="s">
        <v>40</v>
      </c>
      <c r="J840">
        <v>80210</v>
      </c>
      <c r="K840" t="s">
        <v>40</v>
      </c>
      <c r="L840" s="3" t="s">
        <v>21</v>
      </c>
      <c r="M840" cm="1">
        <f t="array" ref="M840">_xlfn.IFS(L839="A", 4, L839="B", 3, L839="C", 2, L839="D", 1)</f>
        <v>2</v>
      </c>
    </row>
    <row r="841" spans="1:13" hidden="1" x14ac:dyDescent="0.2">
      <c r="A841">
        <v>2023</v>
      </c>
      <c r="B841">
        <v>80210</v>
      </c>
      <c r="C841" t="s">
        <v>77</v>
      </c>
      <c r="D841" t="s">
        <v>99</v>
      </c>
      <c r="E841" t="s">
        <v>15</v>
      </c>
      <c r="F841" t="s">
        <v>16</v>
      </c>
      <c r="G841">
        <v>12</v>
      </c>
      <c r="H841" s="1">
        <v>39394</v>
      </c>
      <c r="I841" t="s">
        <v>41</v>
      </c>
      <c r="J841">
        <v>80210</v>
      </c>
      <c r="K841" t="s">
        <v>41</v>
      </c>
      <c r="L841" s="3" t="s">
        <v>21</v>
      </c>
      <c r="M841" cm="1">
        <f t="array" ref="M841">_xlfn.IFS(L840="A", 4, L840="B", 3, L840="C", 2, L840="D", 1)</f>
        <v>2</v>
      </c>
    </row>
    <row r="842" spans="1:13" hidden="1" x14ac:dyDescent="0.2">
      <c r="A842">
        <v>2023</v>
      </c>
      <c r="B842">
        <v>80210</v>
      </c>
      <c r="C842" t="s">
        <v>77</v>
      </c>
      <c r="D842" t="s">
        <v>99</v>
      </c>
      <c r="E842" t="s">
        <v>15</v>
      </c>
      <c r="F842" t="s">
        <v>16</v>
      </c>
      <c r="G842">
        <v>12</v>
      </c>
      <c r="H842" s="1">
        <v>39394</v>
      </c>
      <c r="I842" t="s">
        <v>42</v>
      </c>
      <c r="J842">
        <v>80210</v>
      </c>
      <c r="K842" t="s">
        <v>42</v>
      </c>
      <c r="L842" s="3" t="s">
        <v>18</v>
      </c>
      <c r="M842" cm="1">
        <f t="array" ref="M842">_xlfn.IFS(L841="A", 4, L841="B", 3, L841="C", 2, L841="D", 1)</f>
        <v>2</v>
      </c>
    </row>
    <row r="843" spans="1:13" hidden="1" x14ac:dyDescent="0.2">
      <c r="A843">
        <v>2022</v>
      </c>
      <c r="B843">
        <v>80210</v>
      </c>
      <c r="C843" t="s">
        <v>74</v>
      </c>
      <c r="D843" t="s">
        <v>100</v>
      </c>
      <c r="E843" t="s">
        <v>15</v>
      </c>
      <c r="F843" t="s">
        <v>16</v>
      </c>
      <c r="G843">
        <v>74.5</v>
      </c>
      <c r="H843" s="1">
        <v>39394</v>
      </c>
      <c r="I843" t="s">
        <v>38</v>
      </c>
      <c r="J843">
        <v>80210</v>
      </c>
      <c r="K843" t="s">
        <v>38</v>
      </c>
      <c r="L843" s="3" t="s">
        <v>21</v>
      </c>
      <c r="M843" cm="1">
        <f t="array" ref="M843">_xlfn.IFS(L842="A", 4, L842="B", 3, L842="C", 2, L842="D", 1)</f>
        <v>4</v>
      </c>
    </row>
    <row r="844" spans="1:13" hidden="1" x14ac:dyDescent="0.2">
      <c r="A844">
        <v>2022</v>
      </c>
      <c r="B844">
        <v>80210</v>
      </c>
      <c r="C844" t="s">
        <v>74</v>
      </c>
      <c r="D844" t="s">
        <v>100</v>
      </c>
      <c r="E844" t="s">
        <v>15</v>
      </c>
      <c r="F844" t="s">
        <v>16</v>
      </c>
      <c r="G844">
        <v>74.5</v>
      </c>
      <c r="H844" s="1">
        <v>39394</v>
      </c>
      <c r="I844" t="s">
        <v>39</v>
      </c>
      <c r="J844">
        <v>80210</v>
      </c>
      <c r="K844" t="s">
        <v>39</v>
      </c>
      <c r="L844" s="3" t="s">
        <v>21</v>
      </c>
      <c r="M844" cm="1">
        <f t="array" ref="M844">_xlfn.IFS(L843="A", 4, L843="B", 3, L843="C", 2, L843="D", 1)</f>
        <v>2</v>
      </c>
    </row>
    <row r="845" spans="1:13" hidden="1" x14ac:dyDescent="0.2">
      <c r="A845">
        <v>2022</v>
      </c>
      <c r="B845">
        <v>80210</v>
      </c>
      <c r="C845" t="s">
        <v>74</v>
      </c>
      <c r="D845" t="s">
        <v>100</v>
      </c>
      <c r="E845" t="s">
        <v>15</v>
      </c>
      <c r="F845" t="s">
        <v>16</v>
      </c>
      <c r="G845">
        <v>74.5</v>
      </c>
      <c r="H845" s="1">
        <v>39394</v>
      </c>
      <c r="I845" t="s">
        <v>40</v>
      </c>
      <c r="J845">
        <v>80210</v>
      </c>
      <c r="K845" t="s">
        <v>40</v>
      </c>
      <c r="L845" s="3" t="s">
        <v>21</v>
      </c>
      <c r="M845" cm="1">
        <f t="array" ref="M845">_xlfn.IFS(L844="A", 4, L844="B", 3, L844="C", 2, L844="D", 1)</f>
        <v>2</v>
      </c>
    </row>
    <row r="846" spans="1:13" hidden="1" x14ac:dyDescent="0.2">
      <c r="A846">
        <v>2022</v>
      </c>
      <c r="B846">
        <v>80210</v>
      </c>
      <c r="C846" t="s">
        <v>74</v>
      </c>
      <c r="D846" t="s">
        <v>100</v>
      </c>
      <c r="E846" t="s">
        <v>15</v>
      </c>
      <c r="F846" t="s">
        <v>16</v>
      </c>
      <c r="G846">
        <v>74.5</v>
      </c>
      <c r="H846" s="1">
        <v>39394</v>
      </c>
      <c r="I846" t="s">
        <v>41</v>
      </c>
      <c r="J846">
        <v>80210</v>
      </c>
      <c r="K846" t="s">
        <v>41</v>
      </c>
      <c r="L846" s="3" t="s">
        <v>21</v>
      </c>
      <c r="M846" cm="1">
        <f t="array" ref="M846">_xlfn.IFS(L845="A", 4, L845="B", 3, L845="C", 2, L845="D", 1)</f>
        <v>2</v>
      </c>
    </row>
    <row r="847" spans="1:13" hidden="1" x14ac:dyDescent="0.2">
      <c r="A847">
        <v>2022</v>
      </c>
      <c r="B847">
        <v>80210</v>
      </c>
      <c r="C847" t="s">
        <v>74</v>
      </c>
      <c r="D847" t="s">
        <v>100</v>
      </c>
      <c r="E847" t="s">
        <v>15</v>
      </c>
      <c r="F847" t="s">
        <v>16</v>
      </c>
      <c r="G847">
        <v>74.5</v>
      </c>
      <c r="H847" s="1">
        <v>39394</v>
      </c>
      <c r="I847" t="s">
        <v>42</v>
      </c>
      <c r="J847">
        <v>80210</v>
      </c>
      <c r="K847" t="s">
        <v>42</v>
      </c>
      <c r="L847" s="3" t="s">
        <v>18</v>
      </c>
      <c r="M847" cm="1">
        <f t="array" ref="M847">_xlfn.IFS(L846="A", 4, L846="B", 3, L846="C", 2, L846="D", 1)</f>
        <v>2</v>
      </c>
    </row>
    <row r="848" spans="1:13" hidden="1" x14ac:dyDescent="0.2">
      <c r="A848">
        <v>2023</v>
      </c>
      <c r="B848">
        <v>80210</v>
      </c>
      <c r="C848" t="s">
        <v>94</v>
      </c>
      <c r="D848" t="s">
        <v>101</v>
      </c>
      <c r="E848" t="s">
        <v>15</v>
      </c>
      <c r="F848" t="s">
        <v>16</v>
      </c>
      <c r="G848">
        <v>15</v>
      </c>
      <c r="H848" s="1">
        <v>39394</v>
      </c>
      <c r="I848" t="s">
        <v>38</v>
      </c>
      <c r="J848">
        <v>80210</v>
      </c>
      <c r="K848" t="s">
        <v>38</v>
      </c>
      <c r="L848" s="3" t="s">
        <v>21</v>
      </c>
      <c r="M848" cm="1">
        <f t="array" ref="M848">_xlfn.IFS(L847="A", 4, L847="B", 3, L847="C", 2, L847="D", 1)</f>
        <v>4</v>
      </c>
    </row>
    <row r="849" spans="1:13" hidden="1" x14ac:dyDescent="0.2">
      <c r="A849">
        <v>2023</v>
      </c>
      <c r="B849">
        <v>80210</v>
      </c>
      <c r="C849" t="s">
        <v>94</v>
      </c>
      <c r="D849" t="s">
        <v>101</v>
      </c>
      <c r="E849" t="s">
        <v>15</v>
      </c>
      <c r="F849" t="s">
        <v>16</v>
      </c>
      <c r="G849">
        <v>15</v>
      </c>
      <c r="H849" s="1">
        <v>39394</v>
      </c>
      <c r="I849" t="s">
        <v>39</v>
      </c>
      <c r="J849">
        <v>80210</v>
      </c>
      <c r="K849" t="s">
        <v>39</v>
      </c>
      <c r="L849" s="3" t="s">
        <v>21</v>
      </c>
      <c r="M849" cm="1">
        <f t="array" ref="M849">_xlfn.IFS(L848="A", 4, L848="B", 3, L848="C", 2, L848="D", 1)</f>
        <v>2</v>
      </c>
    </row>
    <row r="850" spans="1:13" hidden="1" x14ac:dyDescent="0.2">
      <c r="A850">
        <v>2023</v>
      </c>
      <c r="B850">
        <v>80210</v>
      </c>
      <c r="C850" t="s">
        <v>94</v>
      </c>
      <c r="D850" t="s">
        <v>101</v>
      </c>
      <c r="E850" t="s">
        <v>15</v>
      </c>
      <c r="F850" t="s">
        <v>16</v>
      </c>
      <c r="G850">
        <v>15</v>
      </c>
      <c r="H850" s="1">
        <v>39394</v>
      </c>
      <c r="I850" t="s">
        <v>40</v>
      </c>
      <c r="J850">
        <v>80210</v>
      </c>
      <c r="K850" t="s">
        <v>40</v>
      </c>
      <c r="L850" s="3" t="s">
        <v>21</v>
      </c>
      <c r="M850" cm="1">
        <f t="array" ref="M850">_xlfn.IFS(L849="A", 4, L849="B", 3, L849="C", 2, L849="D", 1)</f>
        <v>2</v>
      </c>
    </row>
    <row r="851" spans="1:13" hidden="1" x14ac:dyDescent="0.2">
      <c r="A851">
        <v>2023</v>
      </c>
      <c r="B851">
        <v>80210</v>
      </c>
      <c r="C851" t="s">
        <v>94</v>
      </c>
      <c r="D851" t="s">
        <v>101</v>
      </c>
      <c r="E851" t="s">
        <v>15</v>
      </c>
      <c r="F851" t="s">
        <v>16</v>
      </c>
      <c r="G851">
        <v>15</v>
      </c>
      <c r="H851" s="1">
        <v>39394</v>
      </c>
      <c r="I851" t="s">
        <v>41</v>
      </c>
      <c r="J851">
        <v>80210</v>
      </c>
      <c r="K851" t="s">
        <v>41</v>
      </c>
      <c r="L851" s="3" t="s">
        <v>21</v>
      </c>
      <c r="M851" cm="1">
        <f t="array" ref="M851">_xlfn.IFS(L850="A", 4, L850="B", 3, L850="C", 2, L850="D", 1)</f>
        <v>2</v>
      </c>
    </row>
    <row r="852" spans="1:13" hidden="1" x14ac:dyDescent="0.2">
      <c r="A852">
        <v>2023</v>
      </c>
      <c r="B852">
        <v>80210</v>
      </c>
      <c r="C852" t="s">
        <v>94</v>
      </c>
      <c r="D852" t="s">
        <v>101</v>
      </c>
      <c r="E852" t="s">
        <v>15</v>
      </c>
      <c r="F852" t="s">
        <v>16</v>
      </c>
      <c r="G852">
        <v>15</v>
      </c>
      <c r="H852" s="1">
        <v>39394</v>
      </c>
      <c r="I852" t="s">
        <v>42</v>
      </c>
      <c r="J852">
        <v>80210</v>
      </c>
      <c r="K852" t="s">
        <v>42</v>
      </c>
      <c r="L852" s="3" t="s">
        <v>18</v>
      </c>
      <c r="M852" cm="1">
        <f t="array" ref="M852">_xlfn.IFS(L851="A", 4, L851="B", 3, L851="C", 2, L851="D", 1)</f>
        <v>2</v>
      </c>
    </row>
    <row r="853" spans="1:13" hidden="1" x14ac:dyDescent="0.2">
      <c r="A853">
        <v>2023</v>
      </c>
      <c r="B853">
        <v>80210</v>
      </c>
      <c r="C853" t="s">
        <v>86</v>
      </c>
      <c r="D853" t="s">
        <v>102</v>
      </c>
      <c r="E853" t="s">
        <v>15</v>
      </c>
      <c r="F853" t="s">
        <v>16</v>
      </c>
      <c r="G853">
        <v>6.3</v>
      </c>
      <c r="H853" s="1">
        <v>39394</v>
      </c>
      <c r="I853" t="s">
        <v>38</v>
      </c>
      <c r="J853">
        <v>80210</v>
      </c>
      <c r="K853" t="s">
        <v>38</v>
      </c>
      <c r="L853" s="3" t="s">
        <v>21</v>
      </c>
      <c r="M853" cm="1">
        <f t="array" ref="M853">_xlfn.IFS(L852="A", 4, L852="B", 3, L852="C", 2, L852="D", 1)</f>
        <v>4</v>
      </c>
    </row>
    <row r="854" spans="1:13" hidden="1" x14ac:dyDescent="0.2">
      <c r="A854">
        <v>2023</v>
      </c>
      <c r="B854">
        <v>80210</v>
      </c>
      <c r="C854" t="s">
        <v>86</v>
      </c>
      <c r="D854" t="s">
        <v>102</v>
      </c>
      <c r="E854" t="s">
        <v>15</v>
      </c>
      <c r="F854" t="s">
        <v>16</v>
      </c>
      <c r="G854">
        <v>6.3</v>
      </c>
      <c r="H854" s="1">
        <v>39394</v>
      </c>
      <c r="I854" t="s">
        <v>39</v>
      </c>
      <c r="J854">
        <v>80210</v>
      </c>
      <c r="K854" t="s">
        <v>39</v>
      </c>
      <c r="L854" s="3" t="s">
        <v>21</v>
      </c>
      <c r="M854" cm="1">
        <f t="array" ref="M854">_xlfn.IFS(L853="A", 4, L853="B", 3, L853="C", 2, L853="D", 1)</f>
        <v>2</v>
      </c>
    </row>
    <row r="855" spans="1:13" hidden="1" x14ac:dyDescent="0.2">
      <c r="A855">
        <v>2023</v>
      </c>
      <c r="B855">
        <v>80210</v>
      </c>
      <c r="C855" t="s">
        <v>86</v>
      </c>
      <c r="D855" t="s">
        <v>102</v>
      </c>
      <c r="E855" t="s">
        <v>15</v>
      </c>
      <c r="F855" t="s">
        <v>16</v>
      </c>
      <c r="G855">
        <v>6.3</v>
      </c>
      <c r="H855" s="1">
        <v>39394</v>
      </c>
      <c r="I855" t="s">
        <v>40</v>
      </c>
      <c r="J855">
        <v>80210</v>
      </c>
      <c r="K855" t="s">
        <v>40</v>
      </c>
      <c r="L855" s="3" t="s">
        <v>21</v>
      </c>
      <c r="M855" cm="1">
        <f t="array" ref="M855">_xlfn.IFS(L854="A", 4, L854="B", 3, L854="C", 2, L854="D", 1)</f>
        <v>2</v>
      </c>
    </row>
    <row r="856" spans="1:13" hidden="1" x14ac:dyDescent="0.2">
      <c r="A856">
        <v>2023</v>
      </c>
      <c r="B856">
        <v>80210</v>
      </c>
      <c r="C856" t="s">
        <v>86</v>
      </c>
      <c r="D856" t="s">
        <v>102</v>
      </c>
      <c r="E856" t="s">
        <v>15</v>
      </c>
      <c r="F856" t="s">
        <v>16</v>
      </c>
      <c r="G856">
        <v>6.3</v>
      </c>
      <c r="H856" s="1">
        <v>39394</v>
      </c>
      <c r="I856" t="s">
        <v>41</v>
      </c>
      <c r="J856">
        <v>80210</v>
      </c>
      <c r="K856" t="s">
        <v>41</v>
      </c>
      <c r="L856" s="3" t="s">
        <v>21</v>
      </c>
      <c r="M856" cm="1">
        <f t="array" ref="M856">_xlfn.IFS(L855="A", 4, L855="B", 3, L855="C", 2, L855="D", 1)</f>
        <v>2</v>
      </c>
    </row>
    <row r="857" spans="1:13" hidden="1" x14ac:dyDescent="0.2">
      <c r="A857">
        <v>2023</v>
      </c>
      <c r="B857">
        <v>80210</v>
      </c>
      <c r="C857" t="s">
        <v>86</v>
      </c>
      <c r="D857" t="s">
        <v>102</v>
      </c>
      <c r="E857" t="s">
        <v>15</v>
      </c>
      <c r="F857" t="s">
        <v>16</v>
      </c>
      <c r="G857">
        <v>6.3</v>
      </c>
      <c r="H857" s="1">
        <v>39394</v>
      </c>
      <c r="I857" t="s">
        <v>42</v>
      </c>
      <c r="J857">
        <v>80210</v>
      </c>
      <c r="K857" t="s">
        <v>42</v>
      </c>
      <c r="L857" s="3" t="s">
        <v>18</v>
      </c>
      <c r="M857" cm="1">
        <f t="array" ref="M857">_xlfn.IFS(L856="A", 4, L856="B", 3, L856="C", 2, L856="D", 1)</f>
        <v>2</v>
      </c>
    </row>
    <row r="858" spans="1:13" hidden="1" x14ac:dyDescent="0.2">
      <c r="A858">
        <v>2023</v>
      </c>
      <c r="B858">
        <v>80210</v>
      </c>
      <c r="C858" t="s">
        <v>13</v>
      </c>
      <c r="D858" t="s">
        <v>103</v>
      </c>
      <c r="E858" t="s">
        <v>15</v>
      </c>
      <c r="F858" t="s">
        <v>16</v>
      </c>
      <c r="G858">
        <v>18.2</v>
      </c>
      <c r="H858" s="1">
        <v>39394</v>
      </c>
      <c r="I858" t="s">
        <v>38</v>
      </c>
      <c r="J858">
        <v>80210</v>
      </c>
      <c r="K858" t="s">
        <v>38</v>
      </c>
      <c r="L858" s="3" t="s">
        <v>21</v>
      </c>
      <c r="M858" cm="1">
        <f t="array" ref="M858">_xlfn.IFS(L857="A", 4, L857="B", 3, L857="C", 2, L857="D", 1)</f>
        <v>4</v>
      </c>
    </row>
    <row r="859" spans="1:13" hidden="1" x14ac:dyDescent="0.2">
      <c r="A859">
        <v>2023</v>
      </c>
      <c r="B859">
        <v>80210</v>
      </c>
      <c r="C859" t="s">
        <v>13</v>
      </c>
      <c r="D859" t="s">
        <v>103</v>
      </c>
      <c r="E859" t="s">
        <v>15</v>
      </c>
      <c r="F859" t="s">
        <v>16</v>
      </c>
      <c r="G859">
        <v>18.2</v>
      </c>
      <c r="H859" s="1">
        <v>39394</v>
      </c>
      <c r="I859" t="s">
        <v>39</v>
      </c>
      <c r="J859">
        <v>80210</v>
      </c>
      <c r="K859" t="s">
        <v>39</v>
      </c>
      <c r="L859" s="3" t="s">
        <v>21</v>
      </c>
      <c r="M859" cm="1">
        <f t="array" ref="M859">_xlfn.IFS(L858="A", 4, L858="B", 3, L858="C", 2, L858="D", 1)</f>
        <v>2</v>
      </c>
    </row>
    <row r="860" spans="1:13" hidden="1" x14ac:dyDescent="0.2">
      <c r="A860">
        <v>2023</v>
      </c>
      <c r="B860">
        <v>80210</v>
      </c>
      <c r="C860" t="s">
        <v>13</v>
      </c>
      <c r="D860" t="s">
        <v>103</v>
      </c>
      <c r="E860" t="s">
        <v>15</v>
      </c>
      <c r="F860" t="s">
        <v>16</v>
      </c>
      <c r="G860">
        <v>18.2</v>
      </c>
      <c r="H860" s="1">
        <v>39394</v>
      </c>
      <c r="I860" t="s">
        <v>40</v>
      </c>
      <c r="J860">
        <v>80210</v>
      </c>
      <c r="K860" t="s">
        <v>40</v>
      </c>
      <c r="L860" s="3" t="s">
        <v>21</v>
      </c>
      <c r="M860" cm="1">
        <f t="array" ref="M860">_xlfn.IFS(L859="A", 4, L859="B", 3, L859="C", 2, L859="D", 1)</f>
        <v>2</v>
      </c>
    </row>
    <row r="861" spans="1:13" hidden="1" x14ac:dyDescent="0.2">
      <c r="A861">
        <v>2023</v>
      </c>
      <c r="B861">
        <v>80210</v>
      </c>
      <c r="C861" t="s">
        <v>13</v>
      </c>
      <c r="D861" t="s">
        <v>103</v>
      </c>
      <c r="E861" t="s">
        <v>15</v>
      </c>
      <c r="F861" t="s">
        <v>16</v>
      </c>
      <c r="G861">
        <v>18.2</v>
      </c>
      <c r="H861" s="1">
        <v>39394</v>
      </c>
      <c r="I861" t="s">
        <v>41</v>
      </c>
      <c r="J861">
        <v>80210</v>
      </c>
      <c r="K861" t="s">
        <v>41</v>
      </c>
      <c r="L861" s="3" t="s">
        <v>21</v>
      </c>
      <c r="M861" cm="1">
        <f t="array" ref="M861">_xlfn.IFS(L860="A", 4, L860="B", 3, L860="C", 2, L860="D", 1)</f>
        <v>2</v>
      </c>
    </row>
    <row r="862" spans="1:13" hidden="1" x14ac:dyDescent="0.2">
      <c r="A862">
        <v>2023</v>
      </c>
      <c r="B862">
        <v>80210</v>
      </c>
      <c r="C862" t="s">
        <v>13</v>
      </c>
      <c r="D862" t="s">
        <v>103</v>
      </c>
      <c r="E862" t="s">
        <v>15</v>
      </c>
      <c r="F862" t="s">
        <v>16</v>
      </c>
      <c r="G862">
        <v>18.2</v>
      </c>
      <c r="H862" s="1">
        <v>39394</v>
      </c>
      <c r="I862" t="s">
        <v>42</v>
      </c>
      <c r="J862">
        <v>80210</v>
      </c>
      <c r="K862" t="s">
        <v>42</v>
      </c>
      <c r="L862" s="3" t="s">
        <v>18</v>
      </c>
      <c r="M862" cm="1">
        <f t="array" ref="M862">_xlfn.IFS(L861="A", 4, L861="B", 3, L861="C", 2, L861="D", 1)</f>
        <v>2</v>
      </c>
    </row>
    <row r="863" spans="1:13" hidden="1" x14ac:dyDescent="0.2">
      <c r="A863">
        <v>2023</v>
      </c>
      <c r="B863">
        <v>80210</v>
      </c>
      <c r="C863" t="s">
        <v>94</v>
      </c>
      <c r="D863" t="s">
        <v>104</v>
      </c>
      <c r="E863" t="s">
        <v>15</v>
      </c>
      <c r="F863" t="s">
        <v>16</v>
      </c>
      <c r="G863">
        <v>8.8000000000000007</v>
      </c>
      <c r="H863" s="1">
        <v>39394</v>
      </c>
      <c r="I863" t="s">
        <v>38</v>
      </c>
      <c r="J863">
        <v>80210</v>
      </c>
      <c r="K863" t="s">
        <v>38</v>
      </c>
      <c r="L863" s="3" t="s">
        <v>21</v>
      </c>
      <c r="M863" cm="1">
        <f t="array" ref="M863">_xlfn.IFS(L862="A", 4, L862="B", 3, L862="C", 2, L862="D", 1)</f>
        <v>4</v>
      </c>
    </row>
    <row r="864" spans="1:13" hidden="1" x14ac:dyDescent="0.2">
      <c r="A864">
        <v>2023</v>
      </c>
      <c r="B864">
        <v>80210</v>
      </c>
      <c r="C864" t="s">
        <v>94</v>
      </c>
      <c r="D864" t="s">
        <v>104</v>
      </c>
      <c r="E864" t="s">
        <v>15</v>
      </c>
      <c r="F864" t="s">
        <v>16</v>
      </c>
      <c r="G864">
        <v>8.8000000000000007</v>
      </c>
      <c r="H864" s="1">
        <v>39394</v>
      </c>
      <c r="I864" t="s">
        <v>39</v>
      </c>
      <c r="J864">
        <v>80210</v>
      </c>
      <c r="K864" t="s">
        <v>39</v>
      </c>
      <c r="L864" s="3" t="s">
        <v>21</v>
      </c>
      <c r="M864" cm="1">
        <f t="array" ref="M864">_xlfn.IFS(L863="A", 4, L863="B", 3, L863="C", 2, L863="D", 1)</f>
        <v>2</v>
      </c>
    </row>
    <row r="865" spans="1:13" hidden="1" x14ac:dyDescent="0.2">
      <c r="A865">
        <v>2023</v>
      </c>
      <c r="B865">
        <v>80210</v>
      </c>
      <c r="C865" t="s">
        <v>94</v>
      </c>
      <c r="D865" t="s">
        <v>104</v>
      </c>
      <c r="E865" t="s">
        <v>15</v>
      </c>
      <c r="F865" t="s">
        <v>16</v>
      </c>
      <c r="G865">
        <v>8.8000000000000007</v>
      </c>
      <c r="H865" s="1">
        <v>39394</v>
      </c>
      <c r="I865" t="s">
        <v>40</v>
      </c>
      <c r="J865">
        <v>80210</v>
      </c>
      <c r="K865" t="s">
        <v>40</v>
      </c>
      <c r="L865" s="3" t="s">
        <v>21</v>
      </c>
      <c r="M865" cm="1">
        <f t="array" ref="M865">_xlfn.IFS(L864="A", 4, L864="B", 3, L864="C", 2, L864="D", 1)</f>
        <v>2</v>
      </c>
    </row>
    <row r="866" spans="1:13" hidden="1" x14ac:dyDescent="0.2">
      <c r="A866">
        <v>2023</v>
      </c>
      <c r="B866">
        <v>80210</v>
      </c>
      <c r="C866" t="s">
        <v>94</v>
      </c>
      <c r="D866" t="s">
        <v>104</v>
      </c>
      <c r="E866" t="s">
        <v>15</v>
      </c>
      <c r="F866" t="s">
        <v>16</v>
      </c>
      <c r="G866">
        <v>8.8000000000000007</v>
      </c>
      <c r="H866" s="1">
        <v>39394</v>
      </c>
      <c r="I866" t="s">
        <v>41</v>
      </c>
      <c r="J866">
        <v>80210</v>
      </c>
      <c r="K866" t="s">
        <v>41</v>
      </c>
      <c r="L866" s="3" t="s">
        <v>21</v>
      </c>
      <c r="M866" cm="1">
        <f t="array" ref="M866">_xlfn.IFS(L865="A", 4, L865="B", 3, L865="C", 2, L865="D", 1)</f>
        <v>2</v>
      </c>
    </row>
    <row r="867" spans="1:13" hidden="1" x14ac:dyDescent="0.2">
      <c r="A867">
        <v>2023</v>
      </c>
      <c r="B867">
        <v>80210</v>
      </c>
      <c r="C867" t="s">
        <v>94</v>
      </c>
      <c r="D867" t="s">
        <v>104</v>
      </c>
      <c r="E867" t="s">
        <v>15</v>
      </c>
      <c r="F867" t="s">
        <v>16</v>
      </c>
      <c r="G867">
        <v>8.8000000000000007</v>
      </c>
      <c r="H867" s="1">
        <v>39394</v>
      </c>
      <c r="I867" t="s">
        <v>42</v>
      </c>
      <c r="J867">
        <v>80210</v>
      </c>
      <c r="K867" t="s">
        <v>42</v>
      </c>
      <c r="L867" s="3" t="s">
        <v>18</v>
      </c>
      <c r="M867" cm="1">
        <f t="array" ref="M867">_xlfn.IFS(L866="A", 4, L866="B", 3, L866="C", 2, L866="D", 1)</f>
        <v>2</v>
      </c>
    </row>
    <row r="868" spans="1:13" hidden="1" x14ac:dyDescent="0.2">
      <c r="A868">
        <v>2023</v>
      </c>
      <c r="B868">
        <v>80210</v>
      </c>
      <c r="C868" t="s">
        <v>86</v>
      </c>
      <c r="D868" t="s">
        <v>105</v>
      </c>
      <c r="E868" t="s">
        <v>15</v>
      </c>
      <c r="F868" t="s">
        <v>16</v>
      </c>
      <c r="G868">
        <v>1.8</v>
      </c>
      <c r="H868" s="1">
        <v>39394</v>
      </c>
      <c r="I868" t="s">
        <v>38</v>
      </c>
      <c r="J868">
        <v>80210</v>
      </c>
      <c r="K868" t="s">
        <v>38</v>
      </c>
      <c r="L868" s="3" t="s">
        <v>21</v>
      </c>
      <c r="M868" cm="1">
        <f t="array" ref="M868">_xlfn.IFS(L867="A", 4, L867="B", 3, L867="C", 2, L867="D", 1)</f>
        <v>4</v>
      </c>
    </row>
    <row r="869" spans="1:13" hidden="1" x14ac:dyDescent="0.2">
      <c r="A869">
        <v>2023</v>
      </c>
      <c r="B869">
        <v>80210</v>
      </c>
      <c r="C869" t="s">
        <v>86</v>
      </c>
      <c r="D869" t="s">
        <v>105</v>
      </c>
      <c r="E869" t="s">
        <v>15</v>
      </c>
      <c r="F869" t="s">
        <v>16</v>
      </c>
      <c r="G869">
        <v>1.8</v>
      </c>
      <c r="H869" s="1">
        <v>39394</v>
      </c>
      <c r="I869" t="s">
        <v>39</v>
      </c>
      <c r="J869">
        <v>80210</v>
      </c>
      <c r="K869" t="s">
        <v>39</v>
      </c>
      <c r="L869" s="3" t="s">
        <v>21</v>
      </c>
      <c r="M869" cm="1">
        <f t="array" ref="M869">_xlfn.IFS(L868="A", 4, L868="B", 3, L868="C", 2, L868="D", 1)</f>
        <v>2</v>
      </c>
    </row>
    <row r="870" spans="1:13" hidden="1" x14ac:dyDescent="0.2">
      <c r="A870">
        <v>2023</v>
      </c>
      <c r="B870">
        <v>80210</v>
      </c>
      <c r="C870" t="s">
        <v>86</v>
      </c>
      <c r="D870" t="s">
        <v>105</v>
      </c>
      <c r="E870" t="s">
        <v>15</v>
      </c>
      <c r="F870" t="s">
        <v>16</v>
      </c>
      <c r="G870">
        <v>1.8</v>
      </c>
      <c r="H870" s="1">
        <v>39394</v>
      </c>
      <c r="I870" t="s">
        <v>40</v>
      </c>
      <c r="J870">
        <v>80210</v>
      </c>
      <c r="K870" t="s">
        <v>40</v>
      </c>
      <c r="L870" s="3" t="s">
        <v>21</v>
      </c>
      <c r="M870" cm="1">
        <f t="array" ref="M870">_xlfn.IFS(L869="A", 4, L869="B", 3, L869="C", 2, L869="D", 1)</f>
        <v>2</v>
      </c>
    </row>
    <row r="871" spans="1:13" hidden="1" x14ac:dyDescent="0.2">
      <c r="A871">
        <v>2023</v>
      </c>
      <c r="B871">
        <v>80210</v>
      </c>
      <c r="C871" t="s">
        <v>86</v>
      </c>
      <c r="D871" t="s">
        <v>105</v>
      </c>
      <c r="E871" t="s">
        <v>15</v>
      </c>
      <c r="F871" t="s">
        <v>16</v>
      </c>
      <c r="G871">
        <v>1.8</v>
      </c>
      <c r="H871" s="1">
        <v>39394</v>
      </c>
      <c r="I871" t="s">
        <v>41</v>
      </c>
      <c r="J871">
        <v>80210</v>
      </c>
      <c r="K871" t="s">
        <v>41</v>
      </c>
      <c r="L871" s="3" t="s">
        <v>21</v>
      </c>
      <c r="M871" cm="1">
        <f t="array" ref="M871">_xlfn.IFS(L870="A", 4, L870="B", 3, L870="C", 2, L870="D", 1)</f>
        <v>2</v>
      </c>
    </row>
    <row r="872" spans="1:13" hidden="1" x14ac:dyDescent="0.2">
      <c r="A872">
        <v>2023</v>
      </c>
      <c r="B872">
        <v>80210</v>
      </c>
      <c r="C872" t="s">
        <v>86</v>
      </c>
      <c r="D872" t="s">
        <v>105</v>
      </c>
      <c r="E872" t="s">
        <v>15</v>
      </c>
      <c r="F872" t="s">
        <v>16</v>
      </c>
      <c r="G872">
        <v>1.8</v>
      </c>
      <c r="H872" s="1">
        <v>39394</v>
      </c>
      <c r="I872" t="s">
        <v>42</v>
      </c>
      <c r="J872">
        <v>80210</v>
      </c>
      <c r="K872" t="s">
        <v>42</v>
      </c>
      <c r="L872" s="3" t="s">
        <v>18</v>
      </c>
      <c r="M872" cm="1">
        <f t="array" ref="M872">_xlfn.IFS(L871="A", 4, L871="B", 3, L871="C", 2, L871="D", 1)</f>
        <v>2</v>
      </c>
    </row>
    <row r="873" spans="1:13" hidden="1" x14ac:dyDescent="0.2">
      <c r="A873">
        <v>2022</v>
      </c>
      <c r="B873">
        <v>80210</v>
      </c>
      <c r="C873" t="s">
        <v>77</v>
      </c>
      <c r="D873" t="s">
        <v>106</v>
      </c>
      <c r="E873" t="s">
        <v>15</v>
      </c>
      <c r="F873" t="s">
        <v>16</v>
      </c>
      <c r="G873">
        <v>25.8</v>
      </c>
      <c r="H873" s="1">
        <v>39394</v>
      </c>
      <c r="I873" t="s">
        <v>38</v>
      </c>
      <c r="J873">
        <v>80210</v>
      </c>
      <c r="K873" t="s">
        <v>38</v>
      </c>
      <c r="L873" s="3" t="s">
        <v>21</v>
      </c>
      <c r="M873" cm="1">
        <f t="array" ref="M873">_xlfn.IFS(L872="A", 4, L872="B", 3, L872="C", 2, L872="D", 1)</f>
        <v>4</v>
      </c>
    </row>
    <row r="874" spans="1:13" hidden="1" x14ac:dyDescent="0.2">
      <c r="A874">
        <v>2022</v>
      </c>
      <c r="B874">
        <v>80210</v>
      </c>
      <c r="C874" t="s">
        <v>77</v>
      </c>
      <c r="D874" t="s">
        <v>106</v>
      </c>
      <c r="E874" t="s">
        <v>15</v>
      </c>
      <c r="F874" t="s">
        <v>16</v>
      </c>
      <c r="G874">
        <v>25.8</v>
      </c>
      <c r="H874" s="1">
        <v>39394</v>
      </c>
      <c r="I874" t="s">
        <v>39</v>
      </c>
      <c r="J874">
        <v>80210</v>
      </c>
      <c r="K874" t="s">
        <v>39</v>
      </c>
      <c r="L874" s="3" t="s">
        <v>21</v>
      </c>
      <c r="M874" cm="1">
        <f t="array" ref="M874">_xlfn.IFS(L873="A", 4, L873="B", 3, L873="C", 2, L873="D", 1)</f>
        <v>2</v>
      </c>
    </row>
    <row r="875" spans="1:13" hidden="1" x14ac:dyDescent="0.2">
      <c r="A875">
        <v>2022</v>
      </c>
      <c r="B875">
        <v>80210</v>
      </c>
      <c r="C875" t="s">
        <v>77</v>
      </c>
      <c r="D875" t="s">
        <v>106</v>
      </c>
      <c r="E875" t="s">
        <v>15</v>
      </c>
      <c r="F875" t="s">
        <v>16</v>
      </c>
      <c r="G875">
        <v>25.8</v>
      </c>
      <c r="H875" s="1">
        <v>39394</v>
      </c>
      <c r="I875" t="s">
        <v>40</v>
      </c>
      <c r="J875">
        <v>80210</v>
      </c>
      <c r="K875" t="s">
        <v>40</v>
      </c>
      <c r="L875" s="3" t="s">
        <v>21</v>
      </c>
      <c r="M875" cm="1">
        <f t="array" ref="M875">_xlfn.IFS(L874="A", 4, L874="B", 3, L874="C", 2, L874="D", 1)</f>
        <v>2</v>
      </c>
    </row>
    <row r="876" spans="1:13" hidden="1" x14ac:dyDescent="0.2">
      <c r="A876">
        <v>2022</v>
      </c>
      <c r="B876">
        <v>80210</v>
      </c>
      <c r="C876" t="s">
        <v>77</v>
      </c>
      <c r="D876" t="s">
        <v>106</v>
      </c>
      <c r="E876" t="s">
        <v>15</v>
      </c>
      <c r="F876" t="s">
        <v>16</v>
      </c>
      <c r="G876">
        <v>25.8</v>
      </c>
      <c r="H876" s="1">
        <v>39394</v>
      </c>
      <c r="I876" t="s">
        <v>41</v>
      </c>
      <c r="J876">
        <v>80210</v>
      </c>
      <c r="K876" t="s">
        <v>41</v>
      </c>
      <c r="L876" s="3" t="s">
        <v>21</v>
      </c>
      <c r="M876" cm="1">
        <f t="array" ref="M876">_xlfn.IFS(L875="A", 4, L875="B", 3, L875="C", 2, L875="D", 1)</f>
        <v>2</v>
      </c>
    </row>
    <row r="877" spans="1:13" hidden="1" x14ac:dyDescent="0.2">
      <c r="A877">
        <v>2022</v>
      </c>
      <c r="B877">
        <v>80210</v>
      </c>
      <c r="C877" t="s">
        <v>77</v>
      </c>
      <c r="D877" t="s">
        <v>106</v>
      </c>
      <c r="E877" t="s">
        <v>15</v>
      </c>
      <c r="F877" t="s">
        <v>16</v>
      </c>
      <c r="G877">
        <v>25.8</v>
      </c>
      <c r="H877" s="1">
        <v>39394</v>
      </c>
      <c r="I877" t="s">
        <v>42</v>
      </c>
      <c r="J877">
        <v>80210</v>
      </c>
      <c r="K877" t="s">
        <v>42</v>
      </c>
      <c r="L877" s="3" t="s">
        <v>18</v>
      </c>
      <c r="M877" cm="1">
        <f t="array" ref="M877">_xlfn.IFS(L876="A", 4, L876="B", 3, L876="C", 2, L876="D", 1)</f>
        <v>2</v>
      </c>
    </row>
    <row r="878" spans="1:13" hidden="1" x14ac:dyDescent="0.2">
      <c r="A878">
        <v>2023</v>
      </c>
      <c r="B878">
        <v>80210</v>
      </c>
      <c r="C878" t="s">
        <v>13</v>
      </c>
      <c r="D878" t="s">
        <v>107</v>
      </c>
      <c r="E878" t="s">
        <v>15</v>
      </c>
      <c r="F878" t="s">
        <v>16</v>
      </c>
      <c r="G878">
        <v>1.8</v>
      </c>
      <c r="H878" s="1">
        <v>39394</v>
      </c>
      <c r="I878" t="s">
        <v>38</v>
      </c>
      <c r="J878">
        <v>80210</v>
      </c>
      <c r="K878" t="s">
        <v>38</v>
      </c>
      <c r="L878" s="3" t="s">
        <v>21</v>
      </c>
      <c r="M878" cm="1">
        <f t="array" ref="M878">_xlfn.IFS(L877="A", 4, L877="B", 3, L877="C", 2, L877="D", 1)</f>
        <v>4</v>
      </c>
    </row>
    <row r="879" spans="1:13" hidden="1" x14ac:dyDescent="0.2">
      <c r="A879">
        <v>2023</v>
      </c>
      <c r="B879">
        <v>80210</v>
      </c>
      <c r="C879" t="s">
        <v>13</v>
      </c>
      <c r="D879" t="s">
        <v>107</v>
      </c>
      <c r="E879" t="s">
        <v>15</v>
      </c>
      <c r="F879" t="s">
        <v>16</v>
      </c>
      <c r="G879">
        <v>1.8</v>
      </c>
      <c r="H879" s="1">
        <v>39394</v>
      </c>
      <c r="I879" t="s">
        <v>39</v>
      </c>
      <c r="J879">
        <v>80210</v>
      </c>
      <c r="K879" t="s">
        <v>39</v>
      </c>
      <c r="L879" s="3" t="s">
        <v>21</v>
      </c>
      <c r="M879" cm="1">
        <f t="array" ref="M879">_xlfn.IFS(L878="A", 4, L878="B", 3, L878="C", 2, L878="D", 1)</f>
        <v>2</v>
      </c>
    </row>
    <row r="880" spans="1:13" hidden="1" x14ac:dyDescent="0.2">
      <c r="A880">
        <v>2023</v>
      </c>
      <c r="B880">
        <v>80210</v>
      </c>
      <c r="C880" t="s">
        <v>13</v>
      </c>
      <c r="D880" t="s">
        <v>107</v>
      </c>
      <c r="E880" t="s">
        <v>15</v>
      </c>
      <c r="F880" t="s">
        <v>16</v>
      </c>
      <c r="G880">
        <v>1.8</v>
      </c>
      <c r="H880" s="1">
        <v>39394</v>
      </c>
      <c r="I880" t="s">
        <v>40</v>
      </c>
      <c r="J880">
        <v>80210</v>
      </c>
      <c r="K880" t="s">
        <v>40</v>
      </c>
      <c r="L880" s="3" t="s">
        <v>21</v>
      </c>
      <c r="M880" cm="1">
        <f t="array" ref="M880">_xlfn.IFS(L879="A", 4, L879="B", 3, L879="C", 2, L879="D", 1)</f>
        <v>2</v>
      </c>
    </row>
    <row r="881" spans="1:13" hidden="1" x14ac:dyDescent="0.2">
      <c r="A881">
        <v>2023</v>
      </c>
      <c r="B881">
        <v>80210</v>
      </c>
      <c r="C881" t="s">
        <v>13</v>
      </c>
      <c r="D881" t="s">
        <v>107</v>
      </c>
      <c r="E881" t="s">
        <v>15</v>
      </c>
      <c r="F881" t="s">
        <v>16</v>
      </c>
      <c r="G881">
        <v>1.8</v>
      </c>
      <c r="H881" s="1">
        <v>39394</v>
      </c>
      <c r="I881" t="s">
        <v>41</v>
      </c>
      <c r="J881">
        <v>80210</v>
      </c>
      <c r="K881" t="s">
        <v>41</v>
      </c>
      <c r="L881" s="3" t="s">
        <v>21</v>
      </c>
      <c r="M881" cm="1">
        <f t="array" ref="M881">_xlfn.IFS(L880="A", 4, L880="B", 3, L880="C", 2, L880="D", 1)</f>
        <v>2</v>
      </c>
    </row>
    <row r="882" spans="1:13" hidden="1" x14ac:dyDescent="0.2">
      <c r="A882">
        <v>2023</v>
      </c>
      <c r="B882">
        <v>80210</v>
      </c>
      <c r="C882" t="s">
        <v>13</v>
      </c>
      <c r="D882" t="s">
        <v>107</v>
      </c>
      <c r="E882" t="s">
        <v>15</v>
      </c>
      <c r="F882" t="s">
        <v>16</v>
      </c>
      <c r="G882">
        <v>1.8</v>
      </c>
      <c r="H882" s="1">
        <v>39394</v>
      </c>
      <c r="I882" t="s">
        <v>42</v>
      </c>
      <c r="J882">
        <v>80210</v>
      </c>
      <c r="K882" t="s">
        <v>42</v>
      </c>
      <c r="L882" s="3" t="s">
        <v>18</v>
      </c>
      <c r="M882" cm="1">
        <f t="array" ref="M882">_xlfn.IFS(L881="A", 4, L881="B", 3, L881="C", 2, L881="D", 1)</f>
        <v>2</v>
      </c>
    </row>
    <row r="883" spans="1:13" hidden="1" x14ac:dyDescent="0.2">
      <c r="A883">
        <v>2022</v>
      </c>
      <c r="B883">
        <v>80210</v>
      </c>
      <c r="C883" t="s">
        <v>13</v>
      </c>
      <c r="D883" t="s">
        <v>108</v>
      </c>
      <c r="E883" t="s">
        <v>15</v>
      </c>
      <c r="F883" t="s">
        <v>16</v>
      </c>
      <c r="G883">
        <v>6</v>
      </c>
      <c r="H883" s="1">
        <v>39394</v>
      </c>
      <c r="I883" t="s">
        <v>38</v>
      </c>
      <c r="J883">
        <v>80210</v>
      </c>
      <c r="K883" t="s">
        <v>38</v>
      </c>
      <c r="L883" s="3" t="s">
        <v>21</v>
      </c>
      <c r="M883" cm="1">
        <f t="array" ref="M883">_xlfn.IFS(L882="A", 4, L882="B", 3, L882="C", 2, L882="D", 1)</f>
        <v>4</v>
      </c>
    </row>
    <row r="884" spans="1:13" hidden="1" x14ac:dyDescent="0.2">
      <c r="A884">
        <v>2022</v>
      </c>
      <c r="B884">
        <v>80210</v>
      </c>
      <c r="C884" t="s">
        <v>13</v>
      </c>
      <c r="D884" t="s">
        <v>108</v>
      </c>
      <c r="E884" t="s">
        <v>15</v>
      </c>
      <c r="F884" t="s">
        <v>16</v>
      </c>
      <c r="G884">
        <v>6</v>
      </c>
      <c r="H884" s="1">
        <v>39394</v>
      </c>
      <c r="I884" t="s">
        <v>39</v>
      </c>
      <c r="J884">
        <v>80210</v>
      </c>
      <c r="K884" t="s">
        <v>39</v>
      </c>
      <c r="L884" s="3" t="s">
        <v>21</v>
      </c>
      <c r="M884" cm="1">
        <f t="array" ref="M884">_xlfn.IFS(L883="A", 4, L883="B", 3, L883="C", 2, L883="D", 1)</f>
        <v>2</v>
      </c>
    </row>
    <row r="885" spans="1:13" hidden="1" x14ac:dyDescent="0.2">
      <c r="A885">
        <v>2022</v>
      </c>
      <c r="B885">
        <v>80210</v>
      </c>
      <c r="C885" t="s">
        <v>13</v>
      </c>
      <c r="D885" t="s">
        <v>108</v>
      </c>
      <c r="E885" t="s">
        <v>15</v>
      </c>
      <c r="F885" t="s">
        <v>16</v>
      </c>
      <c r="G885">
        <v>6</v>
      </c>
      <c r="H885" s="1">
        <v>39394</v>
      </c>
      <c r="I885" t="s">
        <v>40</v>
      </c>
      <c r="J885">
        <v>80210</v>
      </c>
      <c r="K885" t="s">
        <v>40</v>
      </c>
      <c r="L885" s="3" t="s">
        <v>21</v>
      </c>
      <c r="M885" cm="1">
        <f t="array" ref="M885">_xlfn.IFS(L884="A", 4, L884="B", 3, L884="C", 2, L884="D", 1)</f>
        <v>2</v>
      </c>
    </row>
    <row r="886" spans="1:13" hidden="1" x14ac:dyDescent="0.2">
      <c r="A886">
        <v>2022</v>
      </c>
      <c r="B886">
        <v>80210</v>
      </c>
      <c r="C886" t="s">
        <v>13</v>
      </c>
      <c r="D886" t="s">
        <v>108</v>
      </c>
      <c r="E886" t="s">
        <v>15</v>
      </c>
      <c r="F886" t="s">
        <v>16</v>
      </c>
      <c r="G886">
        <v>6</v>
      </c>
      <c r="H886" s="1">
        <v>39394</v>
      </c>
      <c r="I886" t="s">
        <v>41</v>
      </c>
      <c r="J886">
        <v>80210</v>
      </c>
      <c r="K886" t="s">
        <v>41</v>
      </c>
      <c r="L886" s="3" t="s">
        <v>21</v>
      </c>
      <c r="M886" cm="1">
        <f t="array" ref="M886">_xlfn.IFS(L885="A", 4, L885="B", 3, L885="C", 2, L885="D", 1)</f>
        <v>2</v>
      </c>
    </row>
    <row r="887" spans="1:13" hidden="1" x14ac:dyDescent="0.2">
      <c r="A887">
        <v>2022</v>
      </c>
      <c r="B887">
        <v>80210</v>
      </c>
      <c r="C887" t="s">
        <v>13</v>
      </c>
      <c r="D887" t="s">
        <v>108</v>
      </c>
      <c r="E887" t="s">
        <v>15</v>
      </c>
      <c r="F887" t="s">
        <v>16</v>
      </c>
      <c r="G887">
        <v>6</v>
      </c>
      <c r="H887" s="1">
        <v>39394</v>
      </c>
      <c r="I887" t="s">
        <v>42</v>
      </c>
      <c r="J887">
        <v>80210</v>
      </c>
      <c r="K887" t="s">
        <v>42</v>
      </c>
      <c r="L887" s="3" t="s">
        <v>18</v>
      </c>
      <c r="M887" cm="1">
        <f t="array" ref="M887">_xlfn.IFS(L886="A", 4, L886="B", 3, L886="C", 2, L886="D", 1)</f>
        <v>2</v>
      </c>
    </row>
    <row r="888" spans="1:13" hidden="1" x14ac:dyDescent="0.2">
      <c r="A888">
        <v>2023</v>
      </c>
      <c r="B888">
        <v>80210</v>
      </c>
      <c r="C888" t="s">
        <v>86</v>
      </c>
      <c r="D888" t="s">
        <v>109</v>
      </c>
      <c r="E888" t="s">
        <v>15</v>
      </c>
      <c r="F888" t="s">
        <v>16</v>
      </c>
      <c r="G888">
        <v>2.8</v>
      </c>
      <c r="H888" s="1">
        <v>39394</v>
      </c>
      <c r="I888" t="s">
        <v>38</v>
      </c>
      <c r="J888">
        <v>80210</v>
      </c>
      <c r="K888" t="s">
        <v>38</v>
      </c>
      <c r="L888" s="3" t="s">
        <v>21</v>
      </c>
      <c r="M888" cm="1">
        <f t="array" ref="M888">_xlfn.IFS(L887="A", 4, L887="B", 3, L887="C", 2, L887="D", 1)</f>
        <v>4</v>
      </c>
    </row>
    <row r="889" spans="1:13" hidden="1" x14ac:dyDescent="0.2">
      <c r="A889">
        <v>2023</v>
      </c>
      <c r="B889">
        <v>80210</v>
      </c>
      <c r="C889" t="s">
        <v>86</v>
      </c>
      <c r="D889" t="s">
        <v>109</v>
      </c>
      <c r="E889" t="s">
        <v>15</v>
      </c>
      <c r="F889" t="s">
        <v>16</v>
      </c>
      <c r="G889">
        <v>2.8</v>
      </c>
      <c r="H889" s="1">
        <v>39394</v>
      </c>
      <c r="I889" t="s">
        <v>39</v>
      </c>
      <c r="J889">
        <v>80210</v>
      </c>
      <c r="K889" t="s">
        <v>39</v>
      </c>
      <c r="L889" s="3" t="s">
        <v>21</v>
      </c>
      <c r="M889" cm="1">
        <f t="array" ref="M889">_xlfn.IFS(L888="A", 4, L888="B", 3, L888="C", 2, L888="D", 1)</f>
        <v>2</v>
      </c>
    </row>
    <row r="890" spans="1:13" hidden="1" x14ac:dyDescent="0.2">
      <c r="A890">
        <v>2023</v>
      </c>
      <c r="B890">
        <v>80210</v>
      </c>
      <c r="C890" t="s">
        <v>86</v>
      </c>
      <c r="D890" t="s">
        <v>109</v>
      </c>
      <c r="E890" t="s">
        <v>15</v>
      </c>
      <c r="F890" t="s">
        <v>16</v>
      </c>
      <c r="G890">
        <v>2.8</v>
      </c>
      <c r="H890" s="1">
        <v>39394</v>
      </c>
      <c r="I890" t="s">
        <v>40</v>
      </c>
      <c r="J890">
        <v>80210</v>
      </c>
      <c r="K890" t="s">
        <v>40</v>
      </c>
      <c r="L890" s="3" t="s">
        <v>21</v>
      </c>
      <c r="M890" cm="1">
        <f t="array" ref="M890">_xlfn.IFS(L889="A", 4, L889="B", 3, L889="C", 2, L889="D", 1)</f>
        <v>2</v>
      </c>
    </row>
    <row r="891" spans="1:13" hidden="1" x14ac:dyDescent="0.2">
      <c r="A891">
        <v>2023</v>
      </c>
      <c r="B891">
        <v>80210</v>
      </c>
      <c r="C891" t="s">
        <v>86</v>
      </c>
      <c r="D891" t="s">
        <v>109</v>
      </c>
      <c r="E891" t="s">
        <v>15</v>
      </c>
      <c r="F891" t="s">
        <v>16</v>
      </c>
      <c r="G891">
        <v>2.8</v>
      </c>
      <c r="H891" s="1">
        <v>39394</v>
      </c>
      <c r="I891" t="s">
        <v>41</v>
      </c>
      <c r="J891">
        <v>80210</v>
      </c>
      <c r="K891" t="s">
        <v>41</v>
      </c>
      <c r="L891" s="3" t="s">
        <v>21</v>
      </c>
      <c r="M891" cm="1">
        <f t="array" ref="M891">_xlfn.IFS(L890="A", 4, L890="B", 3, L890="C", 2, L890="D", 1)</f>
        <v>2</v>
      </c>
    </row>
    <row r="892" spans="1:13" hidden="1" x14ac:dyDescent="0.2">
      <c r="A892">
        <v>2023</v>
      </c>
      <c r="B892">
        <v>80210</v>
      </c>
      <c r="C892" t="s">
        <v>86</v>
      </c>
      <c r="D892" t="s">
        <v>109</v>
      </c>
      <c r="E892" t="s">
        <v>15</v>
      </c>
      <c r="F892" t="s">
        <v>16</v>
      </c>
      <c r="G892">
        <v>2.8</v>
      </c>
      <c r="H892" s="1">
        <v>39394</v>
      </c>
      <c r="I892" t="s">
        <v>42</v>
      </c>
      <c r="J892">
        <v>80210</v>
      </c>
      <c r="K892" t="s">
        <v>42</v>
      </c>
      <c r="L892" s="3" t="s">
        <v>18</v>
      </c>
      <c r="M892" cm="1">
        <f t="array" ref="M892">_xlfn.IFS(L891="A", 4, L891="B", 3, L891="C", 2, L891="D", 1)</f>
        <v>2</v>
      </c>
    </row>
    <row r="893" spans="1:13" hidden="1" x14ac:dyDescent="0.2">
      <c r="A893">
        <v>2023</v>
      </c>
      <c r="B893">
        <v>80211</v>
      </c>
      <c r="C893" t="s">
        <v>74</v>
      </c>
      <c r="D893" t="s">
        <v>75</v>
      </c>
      <c r="E893" t="s">
        <v>15</v>
      </c>
      <c r="F893" t="s">
        <v>16</v>
      </c>
      <c r="G893">
        <v>9.5</v>
      </c>
      <c r="H893" s="1">
        <v>37940</v>
      </c>
      <c r="I893" t="s">
        <v>43</v>
      </c>
      <c r="J893">
        <v>80211</v>
      </c>
      <c r="K893" t="s">
        <v>43</v>
      </c>
      <c r="L893" s="3" t="s">
        <v>23</v>
      </c>
      <c r="M893" cm="1">
        <f t="array" ref="M893">_xlfn.IFS(L892="A", 4, L892="B", 3, L892="C", 2, L892="D", 1)</f>
        <v>4</v>
      </c>
    </row>
    <row r="894" spans="1:13" hidden="1" x14ac:dyDescent="0.2">
      <c r="A894">
        <v>2023</v>
      </c>
      <c r="B894">
        <v>80211</v>
      </c>
      <c r="C894" t="s">
        <v>74</v>
      </c>
      <c r="D894" t="s">
        <v>75</v>
      </c>
      <c r="E894" t="s">
        <v>15</v>
      </c>
      <c r="F894" t="s">
        <v>16</v>
      </c>
      <c r="G894">
        <v>9.5</v>
      </c>
      <c r="H894" s="1">
        <v>37940</v>
      </c>
      <c r="I894" t="s">
        <v>44</v>
      </c>
      <c r="J894">
        <v>80211</v>
      </c>
      <c r="K894" t="s">
        <v>44</v>
      </c>
      <c r="L894" s="3" t="s">
        <v>23</v>
      </c>
      <c r="M894" cm="1">
        <f t="array" ref="M894">_xlfn.IFS(L893="A", 4, L893="B", 3, L893="C", 2, L893="D", 1)</f>
        <v>1</v>
      </c>
    </row>
    <row r="895" spans="1:13" hidden="1" x14ac:dyDescent="0.2">
      <c r="A895">
        <v>2023</v>
      </c>
      <c r="B895">
        <v>80211</v>
      </c>
      <c r="C895" t="s">
        <v>74</v>
      </c>
      <c r="D895" t="s">
        <v>75</v>
      </c>
      <c r="E895" t="s">
        <v>15</v>
      </c>
      <c r="F895" t="s">
        <v>16</v>
      </c>
      <c r="G895">
        <v>9.5</v>
      </c>
      <c r="H895" s="1">
        <v>37940</v>
      </c>
      <c r="I895" t="s">
        <v>45</v>
      </c>
      <c r="J895">
        <v>80211</v>
      </c>
      <c r="K895" t="s">
        <v>45</v>
      </c>
      <c r="L895" s="3" t="s">
        <v>21</v>
      </c>
      <c r="M895" cm="1">
        <f t="array" ref="M895">_xlfn.IFS(L894="A", 4, L894="B", 3, L894="C", 2, L894="D", 1)</f>
        <v>1</v>
      </c>
    </row>
    <row r="896" spans="1:13" hidden="1" x14ac:dyDescent="0.2">
      <c r="A896">
        <v>2023</v>
      </c>
      <c r="B896">
        <v>80211</v>
      </c>
      <c r="C896" t="s">
        <v>13</v>
      </c>
      <c r="D896" t="s">
        <v>76</v>
      </c>
      <c r="E896" t="s">
        <v>15</v>
      </c>
      <c r="F896" t="s">
        <v>16</v>
      </c>
      <c r="G896">
        <v>14.2</v>
      </c>
      <c r="H896" s="1">
        <v>37940</v>
      </c>
      <c r="I896" t="s">
        <v>43</v>
      </c>
      <c r="J896">
        <v>80211</v>
      </c>
      <c r="K896" t="s">
        <v>43</v>
      </c>
      <c r="L896" s="3" t="s">
        <v>23</v>
      </c>
      <c r="M896" cm="1">
        <f t="array" ref="M896">_xlfn.IFS(L895="A", 4, L895="B", 3, L895="C", 2, L895="D", 1)</f>
        <v>2</v>
      </c>
    </row>
    <row r="897" spans="1:13" hidden="1" x14ac:dyDescent="0.2">
      <c r="A897">
        <v>2023</v>
      </c>
      <c r="B897">
        <v>80211</v>
      </c>
      <c r="C897" t="s">
        <v>13</v>
      </c>
      <c r="D897" t="s">
        <v>76</v>
      </c>
      <c r="E897" t="s">
        <v>15</v>
      </c>
      <c r="F897" t="s">
        <v>16</v>
      </c>
      <c r="G897">
        <v>14.2</v>
      </c>
      <c r="H897" s="1">
        <v>37940</v>
      </c>
      <c r="I897" t="s">
        <v>44</v>
      </c>
      <c r="J897">
        <v>80211</v>
      </c>
      <c r="K897" t="s">
        <v>44</v>
      </c>
      <c r="L897" s="3" t="s">
        <v>23</v>
      </c>
      <c r="M897" cm="1">
        <f t="array" ref="M897">_xlfn.IFS(L896="A", 4, L896="B", 3, L896="C", 2, L896="D", 1)</f>
        <v>1</v>
      </c>
    </row>
    <row r="898" spans="1:13" hidden="1" x14ac:dyDescent="0.2">
      <c r="A898">
        <v>2023</v>
      </c>
      <c r="B898">
        <v>80211</v>
      </c>
      <c r="C898" t="s">
        <v>13</v>
      </c>
      <c r="D898" t="s">
        <v>76</v>
      </c>
      <c r="E898" t="s">
        <v>15</v>
      </c>
      <c r="F898" t="s">
        <v>16</v>
      </c>
      <c r="G898">
        <v>14.2</v>
      </c>
      <c r="H898" s="1">
        <v>37940</v>
      </c>
      <c r="I898" t="s">
        <v>45</v>
      </c>
      <c r="J898">
        <v>80211</v>
      </c>
      <c r="K898" t="s">
        <v>45</v>
      </c>
      <c r="L898" s="3" t="s">
        <v>21</v>
      </c>
      <c r="M898" cm="1">
        <f t="array" ref="M898">_xlfn.IFS(L897="A", 4, L897="B", 3, L897="C", 2, L897="D", 1)</f>
        <v>1</v>
      </c>
    </row>
    <row r="899" spans="1:13" hidden="1" x14ac:dyDescent="0.2">
      <c r="A899">
        <v>2023</v>
      </c>
      <c r="B899">
        <v>80211</v>
      </c>
      <c r="C899" t="s">
        <v>77</v>
      </c>
      <c r="D899" t="s">
        <v>78</v>
      </c>
      <c r="E899" t="s">
        <v>15</v>
      </c>
      <c r="F899" t="s">
        <v>16</v>
      </c>
      <c r="G899">
        <v>29.5</v>
      </c>
      <c r="H899" s="1">
        <v>37940</v>
      </c>
      <c r="I899" t="s">
        <v>43</v>
      </c>
      <c r="J899">
        <v>80211</v>
      </c>
      <c r="K899" t="s">
        <v>43</v>
      </c>
      <c r="L899" s="3" t="s">
        <v>23</v>
      </c>
      <c r="M899" cm="1">
        <f t="array" ref="M899">_xlfn.IFS(L898="A", 4, L898="B", 3, L898="C", 2, L898="D", 1)</f>
        <v>2</v>
      </c>
    </row>
    <row r="900" spans="1:13" hidden="1" x14ac:dyDescent="0.2">
      <c r="A900">
        <v>2023</v>
      </c>
      <c r="B900">
        <v>80211</v>
      </c>
      <c r="C900" t="s">
        <v>77</v>
      </c>
      <c r="D900" t="s">
        <v>78</v>
      </c>
      <c r="E900" t="s">
        <v>15</v>
      </c>
      <c r="F900" t="s">
        <v>16</v>
      </c>
      <c r="G900">
        <v>29.5</v>
      </c>
      <c r="H900" s="1">
        <v>37940</v>
      </c>
      <c r="I900" t="s">
        <v>44</v>
      </c>
      <c r="J900">
        <v>80211</v>
      </c>
      <c r="K900" t="s">
        <v>44</v>
      </c>
      <c r="L900" s="3" t="s">
        <v>23</v>
      </c>
      <c r="M900" cm="1">
        <f t="array" ref="M900">_xlfn.IFS(L899="A", 4, L899="B", 3, L899="C", 2, L899="D", 1)</f>
        <v>1</v>
      </c>
    </row>
    <row r="901" spans="1:13" hidden="1" x14ac:dyDescent="0.2">
      <c r="A901">
        <v>2023</v>
      </c>
      <c r="B901">
        <v>80211</v>
      </c>
      <c r="C901" t="s">
        <v>77</v>
      </c>
      <c r="D901" t="s">
        <v>78</v>
      </c>
      <c r="E901" t="s">
        <v>15</v>
      </c>
      <c r="F901" t="s">
        <v>16</v>
      </c>
      <c r="G901">
        <v>29.5</v>
      </c>
      <c r="H901" s="1">
        <v>37940</v>
      </c>
      <c r="I901" t="s">
        <v>45</v>
      </c>
      <c r="J901">
        <v>80211</v>
      </c>
      <c r="K901" t="s">
        <v>45</v>
      </c>
      <c r="L901" s="3" t="s">
        <v>21</v>
      </c>
      <c r="M901" cm="1">
        <f t="array" ref="M901">_xlfn.IFS(L900="A", 4, L900="B", 3, L900="C", 2, L900="D", 1)</f>
        <v>1</v>
      </c>
    </row>
    <row r="902" spans="1:13" hidden="1" x14ac:dyDescent="0.2">
      <c r="A902">
        <v>2023</v>
      </c>
      <c r="B902">
        <v>80211</v>
      </c>
      <c r="C902" t="s">
        <v>13</v>
      </c>
      <c r="D902" t="s">
        <v>79</v>
      </c>
      <c r="E902" t="s">
        <v>15</v>
      </c>
      <c r="F902" t="s">
        <v>16</v>
      </c>
      <c r="G902">
        <v>16.600000000000001</v>
      </c>
      <c r="H902" s="1">
        <v>37940</v>
      </c>
      <c r="I902" t="s">
        <v>43</v>
      </c>
      <c r="J902">
        <v>80211</v>
      </c>
      <c r="K902" t="s">
        <v>43</v>
      </c>
      <c r="L902" s="3" t="s">
        <v>23</v>
      </c>
      <c r="M902" cm="1">
        <f t="array" ref="M902">_xlfn.IFS(L901="A", 4, L901="B", 3, L901="C", 2, L901="D", 1)</f>
        <v>2</v>
      </c>
    </row>
    <row r="903" spans="1:13" hidden="1" x14ac:dyDescent="0.2">
      <c r="A903">
        <v>2023</v>
      </c>
      <c r="B903">
        <v>80211</v>
      </c>
      <c r="C903" t="s">
        <v>13</v>
      </c>
      <c r="D903" t="s">
        <v>79</v>
      </c>
      <c r="E903" t="s">
        <v>15</v>
      </c>
      <c r="F903" t="s">
        <v>16</v>
      </c>
      <c r="G903">
        <v>16.600000000000001</v>
      </c>
      <c r="H903" s="1">
        <v>37940</v>
      </c>
      <c r="I903" t="s">
        <v>44</v>
      </c>
      <c r="J903">
        <v>80211</v>
      </c>
      <c r="K903" t="s">
        <v>44</v>
      </c>
      <c r="L903" s="3" t="s">
        <v>23</v>
      </c>
      <c r="M903" cm="1">
        <f t="array" ref="M903">_xlfn.IFS(L902="A", 4, L902="B", 3, L902="C", 2, L902="D", 1)</f>
        <v>1</v>
      </c>
    </row>
    <row r="904" spans="1:13" hidden="1" x14ac:dyDescent="0.2">
      <c r="A904">
        <v>2023</v>
      </c>
      <c r="B904">
        <v>80211</v>
      </c>
      <c r="C904" t="s">
        <v>13</v>
      </c>
      <c r="D904" t="s">
        <v>79</v>
      </c>
      <c r="E904" t="s">
        <v>15</v>
      </c>
      <c r="F904" t="s">
        <v>16</v>
      </c>
      <c r="G904">
        <v>16.600000000000001</v>
      </c>
      <c r="H904" s="1">
        <v>37940</v>
      </c>
      <c r="I904" t="s">
        <v>45</v>
      </c>
      <c r="J904">
        <v>80211</v>
      </c>
      <c r="K904" t="s">
        <v>45</v>
      </c>
      <c r="L904" s="3" t="s">
        <v>21</v>
      </c>
      <c r="M904" cm="1">
        <f t="array" ref="M904">_xlfn.IFS(L903="A", 4, L903="B", 3, L903="C", 2, L903="D", 1)</f>
        <v>1</v>
      </c>
    </row>
    <row r="905" spans="1:13" hidden="1" x14ac:dyDescent="0.2">
      <c r="A905">
        <v>2023</v>
      </c>
      <c r="B905">
        <v>80211</v>
      </c>
      <c r="C905" t="s">
        <v>74</v>
      </c>
      <c r="D905" t="s">
        <v>80</v>
      </c>
      <c r="E905" t="s">
        <v>15</v>
      </c>
      <c r="F905" t="s">
        <v>16</v>
      </c>
      <c r="G905">
        <v>58.7</v>
      </c>
      <c r="H905" s="1">
        <v>37940</v>
      </c>
      <c r="I905" t="s">
        <v>43</v>
      </c>
      <c r="J905">
        <v>80211</v>
      </c>
      <c r="K905" t="s">
        <v>43</v>
      </c>
      <c r="L905" s="3" t="s">
        <v>23</v>
      </c>
      <c r="M905" cm="1">
        <f t="array" ref="M905">_xlfn.IFS(L904="A", 4, L904="B", 3, L904="C", 2, L904="D", 1)</f>
        <v>2</v>
      </c>
    </row>
    <row r="906" spans="1:13" hidden="1" x14ac:dyDescent="0.2">
      <c r="A906">
        <v>2023</v>
      </c>
      <c r="B906">
        <v>80211</v>
      </c>
      <c r="C906" t="s">
        <v>74</v>
      </c>
      <c r="D906" t="s">
        <v>80</v>
      </c>
      <c r="E906" t="s">
        <v>15</v>
      </c>
      <c r="F906" t="s">
        <v>16</v>
      </c>
      <c r="G906">
        <v>58.7</v>
      </c>
      <c r="H906" s="1">
        <v>37940</v>
      </c>
      <c r="I906" t="s">
        <v>44</v>
      </c>
      <c r="J906">
        <v>80211</v>
      </c>
      <c r="K906" t="s">
        <v>44</v>
      </c>
      <c r="L906" s="3" t="s">
        <v>23</v>
      </c>
      <c r="M906" cm="1">
        <f t="array" ref="M906">_xlfn.IFS(L905="A", 4, L905="B", 3, L905="C", 2, L905="D", 1)</f>
        <v>1</v>
      </c>
    </row>
    <row r="907" spans="1:13" hidden="1" x14ac:dyDescent="0.2">
      <c r="A907">
        <v>2023</v>
      </c>
      <c r="B907">
        <v>80211</v>
      </c>
      <c r="C907" t="s">
        <v>74</v>
      </c>
      <c r="D907" t="s">
        <v>80</v>
      </c>
      <c r="E907" t="s">
        <v>15</v>
      </c>
      <c r="F907" t="s">
        <v>16</v>
      </c>
      <c r="G907">
        <v>58.7</v>
      </c>
      <c r="H907" s="1">
        <v>37940</v>
      </c>
      <c r="I907" t="s">
        <v>45</v>
      </c>
      <c r="J907">
        <v>80211</v>
      </c>
      <c r="K907" t="s">
        <v>45</v>
      </c>
      <c r="L907" s="3" t="s">
        <v>21</v>
      </c>
      <c r="M907" cm="1">
        <f t="array" ref="M907">_xlfn.IFS(L906="A", 4, L906="B", 3, L906="C", 2, L906="D", 1)</f>
        <v>1</v>
      </c>
    </row>
    <row r="908" spans="1:13" hidden="1" x14ac:dyDescent="0.2">
      <c r="A908">
        <v>2023</v>
      </c>
      <c r="B908">
        <v>80211</v>
      </c>
      <c r="C908" t="s">
        <v>13</v>
      </c>
      <c r="D908" t="s">
        <v>81</v>
      </c>
      <c r="E908" t="s">
        <v>15</v>
      </c>
      <c r="F908" t="s">
        <v>16</v>
      </c>
      <c r="G908">
        <v>4.9000000000000004</v>
      </c>
      <c r="H908" s="1">
        <v>37940</v>
      </c>
      <c r="I908" t="s">
        <v>43</v>
      </c>
      <c r="J908">
        <v>80211</v>
      </c>
      <c r="K908" t="s">
        <v>43</v>
      </c>
      <c r="L908" s="3" t="s">
        <v>23</v>
      </c>
      <c r="M908" cm="1">
        <f t="array" ref="M908">_xlfn.IFS(L907="A", 4, L907="B", 3, L907="C", 2, L907="D", 1)</f>
        <v>2</v>
      </c>
    </row>
    <row r="909" spans="1:13" hidden="1" x14ac:dyDescent="0.2">
      <c r="A909">
        <v>2023</v>
      </c>
      <c r="B909">
        <v>80211</v>
      </c>
      <c r="C909" t="s">
        <v>13</v>
      </c>
      <c r="D909" t="s">
        <v>81</v>
      </c>
      <c r="E909" t="s">
        <v>15</v>
      </c>
      <c r="F909" t="s">
        <v>16</v>
      </c>
      <c r="G909">
        <v>4.9000000000000004</v>
      </c>
      <c r="H909" s="1">
        <v>37940</v>
      </c>
      <c r="I909" t="s">
        <v>44</v>
      </c>
      <c r="J909">
        <v>80211</v>
      </c>
      <c r="K909" t="s">
        <v>44</v>
      </c>
      <c r="L909" s="3" t="s">
        <v>23</v>
      </c>
      <c r="M909" cm="1">
        <f t="array" ref="M909">_xlfn.IFS(L908="A", 4, L908="B", 3, L908="C", 2, L908="D", 1)</f>
        <v>1</v>
      </c>
    </row>
    <row r="910" spans="1:13" hidden="1" x14ac:dyDescent="0.2">
      <c r="A910">
        <v>2023</v>
      </c>
      <c r="B910">
        <v>80211</v>
      </c>
      <c r="C910" t="s">
        <v>13</v>
      </c>
      <c r="D910" t="s">
        <v>81</v>
      </c>
      <c r="E910" t="s">
        <v>15</v>
      </c>
      <c r="F910" t="s">
        <v>16</v>
      </c>
      <c r="G910">
        <v>4.9000000000000004</v>
      </c>
      <c r="H910" s="1">
        <v>37940</v>
      </c>
      <c r="I910" t="s">
        <v>45</v>
      </c>
      <c r="J910">
        <v>80211</v>
      </c>
      <c r="K910" t="s">
        <v>45</v>
      </c>
      <c r="L910" s="3" t="s">
        <v>21</v>
      </c>
      <c r="M910" cm="1">
        <f t="array" ref="M910">_xlfn.IFS(L909="A", 4, L909="B", 3, L909="C", 2, L909="D", 1)</f>
        <v>1</v>
      </c>
    </row>
    <row r="911" spans="1:13" hidden="1" x14ac:dyDescent="0.2">
      <c r="A911">
        <v>2023</v>
      </c>
      <c r="B911">
        <v>80211</v>
      </c>
      <c r="C911" t="s">
        <v>13</v>
      </c>
      <c r="D911" t="s">
        <v>82</v>
      </c>
      <c r="E911" t="s">
        <v>15</v>
      </c>
      <c r="F911" t="s">
        <v>16</v>
      </c>
      <c r="G911">
        <v>10.1</v>
      </c>
      <c r="H911" s="1">
        <v>37940</v>
      </c>
      <c r="I911" t="s">
        <v>43</v>
      </c>
      <c r="J911">
        <v>80211</v>
      </c>
      <c r="K911" t="s">
        <v>43</v>
      </c>
      <c r="L911" s="3" t="s">
        <v>23</v>
      </c>
      <c r="M911" cm="1">
        <f t="array" ref="M911">_xlfn.IFS(L910="A", 4, L910="B", 3, L910="C", 2, L910="D", 1)</f>
        <v>2</v>
      </c>
    </row>
    <row r="912" spans="1:13" hidden="1" x14ac:dyDescent="0.2">
      <c r="A912">
        <v>2023</v>
      </c>
      <c r="B912">
        <v>80211</v>
      </c>
      <c r="C912" t="s">
        <v>13</v>
      </c>
      <c r="D912" t="s">
        <v>82</v>
      </c>
      <c r="E912" t="s">
        <v>15</v>
      </c>
      <c r="F912" t="s">
        <v>16</v>
      </c>
      <c r="G912">
        <v>10.1</v>
      </c>
      <c r="H912" s="1">
        <v>37940</v>
      </c>
      <c r="I912" t="s">
        <v>44</v>
      </c>
      <c r="J912">
        <v>80211</v>
      </c>
      <c r="K912" t="s">
        <v>44</v>
      </c>
      <c r="L912" s="3" t="s">
        <v>23</v>
      </c>
      <c r="M912" cm="1">
        <f t="array" ref="M912">_xlfn.IFS(L911="A", 4, L911="B", 3, L911="C", 2, L911="D", 1)</f>
        <v>1</v>
      </c>
    </row>
    <row r="913" spans="1:13" hidden="1" x14ac:dyDescent="0.2">
      <c r="A913">
        <v>2023</v>
      </c>
      <c r="B913">
        <v>80211</v>
      </c>
      <c r="C913" t="s">
        <v>13</v>
      </c>
      <c r="D913" t="s">
        <v>82</v>
      </c>
      <c r="E913" t="s">
        <v>15</v>
      </c>
      <c r="F913" t="s">
        <v>16</v>
      </c>
      <c r="G913">
        <v>10.1</v>
      </c>
      <c r="H913" s="1">
        <v>37940</v>
      </c>
      <c r="I913" t="s">
        <v>45</v>
      </c>
      <c r="J913">
        <v>80211</v>
      </c>
      <c r="K913" t="s">
        <v>45</v>
      </c>
      <c r="L913" s="3" t="s">
        <v>21</v>
      </c>
      <c r="M913" cm="1">
        <f t="array" ref="M913">_xlfn.IFS(L912="A", 4, L912="B", 3, L912="C", 2, L912="D", 1)</f>
        <v>1</v>
      </c>
    </row>
    <row r="914" spans="1:13" hidden="1" x14ac:dyDescent="0.2">
      <c r="A914">
        <v>2023</v>
      </c>
      <c r="B914">
        <v>80211</v>
      </c>
      <c r="C914" t="s">
        <v>13</v>
      </c>
      <c r="D914" t="s">
        <v>83</v>
      </c>
      <c r="E914" t="s">
        <v>15</v>
      </c>
      <c r="F914" t="s">
        <v>16</v>
      </c>
      <c r="G914">
        <v>2.9</v>
      </c>
      <c r="H914" s="1">
        <v>37940</v>
      </c>
      <c r="I914" t="s">
        <v>43</v>
      </c>
      <c r="J914">
        <v>80211</v>
      </c>
      <c r="K914" t="s">
        <v>43</v>
      </c>
      <c r="L914" s="3" t="s">
        <v>23</v>
      </c>
      <c r="M914" cm="1">
        <f t="array" ref="M914">_xlfn.IFS(L913="A", 4, L913="B", 3, L913="C", 2, L913="D", 1)</f>
        <v>2</v>
      </c>
    </row>
    <row r="915" spans="1:13" hidden="1" x14ac:dyDescent="0.2">
      <c r="A915">
        <v>2023</v>
      </c>
      <c r="B915">
        <v>80211</v>
      </c>
      <c r="C915" t="s">
        <v>13</v>
      </c>
      <c r="D915" t="s">
        <v>83</v>
      </c>
      <c r="E915" t="s">
        <v>15</v>
      </c>
      <c r="F915" t="s">
        <v>16</v>
      </c>
      <c r="G915">
        <v>2.9</v>
      </c>
      <c r="H915" s="1">
        <v>37940</v>
      </c>
      <c r="I915" t="s">
        <v>44</v>
      </c>
      <c r="J915">
        <v>80211</v>
      </c>
      <c r="K915" t="s">
        <v>44</v>
      </c>
      <c r="L915" s="3" t="s">
        <v>23</v>
      </c>
      <c r="M915" cm="1">
        <f t="array" ref="M915">_xlfn.IFS(L914="A", 4, L914="B", 3, L914="C", 2, L914="D", 1)</f>
        <v>1</v>
      </c>
    </row>
    <row r="916" spans="1:13" hidden="1" x14ac:dyDescent="0.2">
      <c r="A916">
        <v>2023</v>
      </c>
      <c r="B916">
        <v>80211</v>
      </c>
      <c r="C916" t="s">
        <v>13</v>
      </c>
      <c r="D916" t="s">
        <v>83</v>
      </c>
      <c r="E916" t="s">
        <v>15</v>
      </c>
      <c r="F916" t="s">
        <v>16</v>
      </c>
      <c r="G916">
        <v>2.9</v>
      </c>
      <c r="H916" s="1">
        <v>37940</v>
      </c>
      <c r="I916" t="s">
        <v>45</v>
      </c>
      <c r="J916">
        <v>80211</v>
      </c>
      <c r="K916" t="s">
        <v>45</v>
      </c>
      <c r="L916" s="3" t="s">
        <v>21</v>
      </c>
      <c r="M916" cm="1">
        <f t="array" ref="M916">_xlfn.IFS(L915="A", 4, L915="B", 3, L915="C", 2, L915="D", 1)</f>
        <v>1</v>
      </c>
    </row>
    <row r="917" spans="1:13" x14ac:dyDescent="0.2">
      <c r="A917">
        <v>2023</v>
      </c>
      <c r="B917">
        <v>80211</v>
      </c>
      <c r="C917" t="s">
        <v>74</v>
      </c>
      <c r="D917" t="s">
        <v>84</v>
      </c>
      <c r="E917" t="s">
        <v>15</v>
      </c>
      <c r="F917" t="s">
        <v>16</v>
      </c>
      <c r="G917">
        <v>67.2</v>
      </c>
      <c r="H917" s="1">
        <v>37940</v>
      </c>
      <c r="I917" t="s">
        <v>43</v>
      </c>
      <c r="J917">
        <v>80211</v>
      </c>
      <c r="K917" t="s">
        <v>43</v>
      </c>
      <c r="L917" s="3" t="s">
        <v>23</v>
      </c>
      <c r="M917" cm="1">
        <f t="array" ref="M917">_xlfn.IFS(L916="A", 4, L916="B", 3, L916="C", 2, L916="D", 1)</f>
        <v>2</v>
      </c>
    </row>
    <row r="918" spans="1:13" x14ac:dyDescent="0.2">
      <c r="A918">
        <v>2023</v>
      </c>
      <c r="B918">
        <v>80211</v>
      </c>
      <c r="C918" t="s">
        <v>74</v>
      </c>
      <c r="D918" t="s">
        <v>84</v>
      </c>
      <c r="E918" t="s">
        <v>15</v>
      </c>
      <c r="F918" t="s">
        <v>16</v>
      </c>
      <c r="G918">
        <v>67.2</v>
      </c>
      <c r="H918" s="1">
        <v>37940</v>
      </c>
      <c r="I918" t="s">
        <v>44</v>
      </c>
      <c r="J918">
        <v>80211</v>
      </c>
      <c r="K918" t="s">
        <v>44</v>
      </c>
      <c r="L918" s="3" t="s">
        <v>23</v>
      </c>
      <c r="M918" cm="1">
        <f t="array" ref="M918">_xlfn.IFS(L917="A", 4, L917="B", 3, L917="C", 2, L917="D", 1)</f>
        <v>1</v>
      </c>
    </row>
    <row r="919" spans="1:13" x14ac:dyDescent="0.2">
      <c r="A919">
        <v>2023</v>
      </c>
      <c r="B919">
        <v>80211</v>
      </c>
      <c r="C919" t="s">
        <v>74</v>
      </c>
      <c r="D919" t="s">
        <v>84</v>
      </c>
      <c r="E919" t="s">
        <v>15</v>
      </c>
      <c r="F919" t="s">
        <v>16</v>
      </c>
      <c r="G919">
        <v>67.2</v>
      </c>
      <c r="H919" s="1">
        <v>37940</v>
      </c>
      <c r="I919" t="s">
        <v>45</v>
      </c>
      <c r="J919">
        <v>80211</v>
      </c>
      <c r="K919" t="s">
        <v>45</v>
      </c>
      <c r="L919" s="3" t="s">
        <v>21</v>
      </c>
      <c r="M919" cm="1">
        <f t="array" ref="M919">_xlfn.IFS(L918="A", 4, L918="B", 3, L918="C", 2, L918="D", 1)</f>
        <v>1</v>
      </c>
    </row>
    <row r="920" spans="1:13" hidden="1" x14ac:dyDescent="0.2">
      <c r="A920">
        <v>2023</v>
      </c>
      <c r="B920">
        <v>80211</v>
      </c>
      <c r="C920" t="s">
        <v>74</v>
      </c>
      <c r="D920" t="s">
        <v>85</v>
      </c>
      <c r="E920" t="s">
        <v>15</v>
      </c>
      <c r="F920" t="s">
        <v>16</v>
      </c>
      <c r="G920">
        <v>83.9</v>
      </c>
      <c r="H920" s="1">
        <v>37940</v>
      </c>
      <c r="I920" t="s">
        <v>43</v>
      </c>
      <c r="J920">
        <v>80211</v>
      </c>
      <c r="K920" t="s">
        <v>43</v>
      </c>
      <c r="L920" s="3" t="s">
        <v>23</v>
      </c>
      <c r="M920" cm="1">
        <f t="array" ref="M920">_xlfn.IFS(L919="A", 4, L919="B", 3, L919="C", 2, L919="D", 1)</f>
        <v>2</v>
      </c>
    </row>
    <row r="921" spans="1:13" hidden="1" x14ac:dyDescent="0.2">
      <c r="A921">
        <v>2023</v>
      </c>
      <c r="B921">
        <v>80211</v>
      </c>
      <c r="C921" t="s">
        <v>74</v>
      </c>
      <c r="D921" t="s">
        <v>85</v>
      </c>
      <c r="E921" t="s">
        <v>15</v>
      </c>
      <c r="F921" t="s">
        <v>16</v>
      </c>
      <c r="G921">
        <v>83.9</v>
      </c>
      <c r="H921" s="1">
        <v>37940</v>
      </c>
      <c r="I921" t="s">
        <v>44</v>
      </c>
      <c r="J921">
        <v>80211</v>
      </c>
      <c r="K921" t="s">
        <v>44</v>
      </c>
      <c r="L921" s="3" t="s">
        <v>23</v>
      </c>
      <c r="M921" cm="1">
        <f t="array" ref="M921">_xlfn.IFS(L920="A", 4, L920="B", 3, L920="C", 2, L920="D", 1)</f>
        <v>1</v>
      </c>
    </row>
    <row r="922" spans="1:13" hidden="1" x14ac:dyDescent="0.2">
      <c r="A922">
        <v>2023</v>
      </c>
      <c r="B922">
        <v>80211</v>
      </c>
      <c r="C922" t="s">
        <v>74</v>
      </c>
      <c r="D922" t="s">
        <v>85</v>
      </c>
      <c r="E922" t="s">
        <v>15</v>
      </c>
      <c r="F922" t="s">
        <v>16</v>
      </c>
      <c r="G922">
        <v>83.9</v>
      </c>
      <c r="H922" s="1">
        <v>37940</v>
      </c>
      <c r="I922" t="s">
        <v>45</v>
      </c>
      <c r="J922">
        <v>80211</v>
      </c>
      <c r="K922" t="s">
        <v>45</v>
      </c>
      <c r="L922" s="3" t="s">
        <v>21</v>
      </c>
      <c r="M922" cm="1">
        <f t="array" ref="M922">_xlfn.IFS(L921="A", 4, L921="B", 3, L921="C", 2, L921="D", 1)</f>
        <v>1</v>
      </c>
    </row>
    <row r="923" spans="1:13" hidden="1" x14ac:dyDescent="0.2">
      <c r="A923">
        <v>2023</v>
      </c>
      <c r="B923">
        <v>80211</v>
      </c>
      <c r="C923" t="s">
        <v>86</v>
      </c>
      <c r="D923" t="s">
        <v>87</v>
      </c>
      <c r="E923" t="s">
        <v>15</v>
      </c>
      <c r="F923" t="s">
        <v>16</v>
      </c>
      <c r="G923">
        <v>12</v>
      </c>
      <c r="H923" s="1">
        <v>37940</v>
      </c>
      <c r="I923" t="s">
        <v>43</v>
      </c>
      <c r="J923">
        <v>80211</v>
      </c>
      <c r="K923" t="s">
        <v>43</v>
      </c>
      <c r="L923" s="3" t="s">
        <v>23</v>
      </c>
      <c r="M923" cm="1">
        <f t="array" ref="M923">_xlfn.IFS(L922="A", 4, L922="B", 3, L922="C", 2, L922="D", 1)</f>
        <v>2</v>
      </c>
    </row>
    <row r="924" spans="1:13" hidden="1" x14ac:dyDescent="0.2">
      <c r="A924">
        <v>2023</v>
      </c>
      <c r="B924">
        <v>80211</v>
      </c>
      <c r="C924" t="s">
        <v>86</v>
      </c>
      <c r="D924" t="s">
        <v>87</v>
      </c>
      <c r="E924" t="s">
        <v>15</v>
      </c>
      <c r="F924" t="s">
        <v>16</v>
      </c>
      <c r="G924">
        <v>12</v>
      </c>
      <c r="H924" s="1">
        <v>37940</v>
      </c>
      <c r="I924" t="s">
        <v>44</v>
      </c>
      <c r="J924">
        <v>80211</v>
      </c>
      <c r="K924" t="s">
        <v>44</v>
      </c>
      <c r="L924" s="3" t="s">
        <v>23</v>
      </c>
      <c r="M924" cm="1">
        <f t="array" ref="M924">_xlfn.IFS(L923="A", 4, L923="B", 3, L923="C", 2, L923="D", 1)</f>
        <v>1</v>
      </c>
    </row>
    <row r="925" spans="1:13" hidden="1" x14ac:dyDescent="0.2">
      <c r="A925">
        <v>2023</v>
      </c>
      <c r="B925">
        <v>80211</v>
      </c>
      <c r="C925" t="s">
        <v>86</v>
      </c>
      <c r="D925" t="s">
        <v>87</v>
      </c>
      <c r="E925" t="s">
        <v>15</v>
      </c>
      <c r="F925" t="s">
        <v>16</v>
      </c>
      <c r="G925">
        <v>12</v>
      </c>
      <c r="H925" s="1">
        <v>37940</v>
      </c>
      <c r="I925" t="s">
        <v>45</v>
      </c>
      <c r="J925">
        <v>80211</v>
      </c>
      <c r="K925" t="s">
        <v>45</v>
      </c>
      <c r="L925" s="3" t="s">
        <v>21</v>
      </c>
      <c r="M925" cm="1">
        <f t="array" ref="M925">_xlfn.IFS(L924="A", 4, L924="B", 3, L924="C", 2, L924="D", 1)</f>
        <v>1</v>
      </c>
    </row>
    <row r="926" spans="1:13" hidden="1" x14ac:dyDescent="0.2">
      <c r="A926">
        <v>2022</v>
      </c>
      <c r="B926">
        <v>80211</v>
      </c>
      <c r="C926" t="s">
        <v>74</v>
      </c>
      <c r="D926" t="s">
        <v>88</v>
      </c>
      <c r="E926" t="s">
        <v>15</v>
      </c>
      <c r="F926" t="s">
        <v>16</v>
      </c>
      <c r="G926">
        <v>61.8</v>
      </c>
      <c r="H926" s="1">
        <v>37940</v>
      </c>
      <c r="I926" t="s">
        <v>43</v>
      </c>
      <c r="J926">
        <v>80211</v>
      </c>
      <c r="K926" t="s">
        <v>43</v>
      </c>
      <c r="L926" s="3" t="s">
        <v>23</v>
      </c>
      <c r="M926" cm="1">
        <f t="array" ref="M926">_xlfn.IFS(L925="A", 4, L925="B", 3, L925="C", 2, L925="D", 1)</f>
        <v>2</v>
      </c>
    </row>
    <row r="927" spans="1:13" hidden="1" x14ac:dyDescent="0.2">
      <c r="A927">
        <v>2022</v>
      </c>
      <c r="B927">
        <v>80211</v>
      </c>
      <c r="C927" t="s">
        <v>74</v>
      </c>
      <c r="D927" t="s">
        <v>88</v>
      </c>
      <c r="E927" t="s">
        <v>15</v>
      </c>
      <c r="F927" t="s">
        <v>16</v>
      </c>
      <c r="G927">
        <v>61.8</v>
      </c>
      <c r="H927" s="1">
        <v>37940</v>
      </c>
      <c r="I927" t="s">
        <v>44</v>
      </c>
      <c r="J927">
        <v>80211</v>
      </c>
      <c r="K927" t="s">
        <v>44</v>
      </c>
      <c r="L927" s="3" t="s">
        <v>23</v>
      </c>
      <c r="M927" cm="1">
        <f t="array" ref="M927">_xlfn.IFS(L926="A", 4, L926="B", 3, L926="C", 2, L926="D", 1)</f>
        <v>1</v>
      </c>
    </row>
    <row r="928" spans="1:13" hidden="1" x14ac:dyDescent="0.2">
      <c r="A928">
        <v>2022</v>
      </c>
      <c r="B928">
        <v>80211</v>
      </c>
      <c r="C928" t="s">
        <v>74</v>
      </c>
      <c r="D928" t="s">
        <v>88</v>
      </c>
      <c r="E928" t="s">
        <v>15</v>
      </c>
      <c r="F928" t="s">
        <v>16</v>
      </c>
      <c r="G928">
        <v>61.8</v>
      </c>
      <c r="H928" s="1">
        <v>37940</v>
      </c>
      <c r="I928" t="s">
        <v>45</v>
      </c>
      <c r="J928">
        <v>80211</v>
      </c>
      <c r="K928" t="s">
        <v>45</v>
      </c>
      <c r="L928" s="3" t="s">
        <v>21</v>
      </c>
      <c r="M928" cm="1">
        <f t="array" ref="M928">_xlfn.IFS(L927="A", 4, L927="B", 3, L927="C", 2, L927="D", 1)</f>
        <v>1</v>
      </c>
    </row>
    <row r="929" spans="1:13" hidden="1" x14ac:dyDescent="0.2">
      <c r="A929">
        <v>2023</v>
      </c>
      <c r="B929">
        <v>80211</v>
      </c>
      <c r="C929" t="s">
        <v>13</v>
      </c>
      <c r="D929" t="s">
        <v>89</v>
      </c>
      <c r="E929" t="s">
        <v>15</v>
      </c>
      <c r="F929" t="s">
        <v>16</v>
      </c>
      <c r="G929">
        <v>2.9</v>
      </c>
      <c r="H929" s="1">
        <v>37940</v>
      </c>
      <c r="I929" t="s">
        <v>43</v>
      </c>
      <c r="J929">
        <v>80211</v>
      </c>
      <c r="K929" t="s">
        <v>43</v>
      </c>
      <c r="L929" s="3" t="s">
        <v>23</v>
      </c>
      <c r="M929" cm="1">
        <f t="array" ref="M929">_xlfn.IFS(L928="A", 4, L928="B", 3, L928="C", 2, L928="D", 1)</f>
        <v>2</v>
      </c>
    </row>
    <row r="930" spans="1:13" hidden="1" x14ac:dyDescent="0.2">
      <c r="A930">
        <v>2023</v>
      </c>
      <c r="B930">
        <v>80211</v>
      </c>
      <c r="C930" t="s">
        <v>13</v>
      </c>
      <c r="D930" t="s">
        <v>89</v>
      </c>
      <c r="E930" t="s">
        <v>15</v>
      </c>
      <c r="F930" t="s">
        <v>16</v>
      </c>
      <c r="G930">
        <v>2.9</v>
      </c>
      <c r="H930" s="1">
        <v>37940</v>
      </c>
      <c r="I930" t="s">
        <v>44</v>
      </c>
      <c r="J930">
        <v>80211</v>
      </c>
      <c r="K930" t="s">
        <v>44</v>
      </c>
      <c r="L930" s="3" t="s">
        <v>23</v>
      </c>
      <c r="M930" cm="1">
        <f t="array" ref="M930">_xlfn.IFS(L929="A", 4, L929="B", 3, L929="C", 2, L929="D", 1)</f>
        <v>1</v>
      </c>
    </row>
    <row r="931" spans="1:13" hidden="1" x14ac:dyDescent="0.2">
      <c r="A931">
        <v>2023</v>
      </c>
      <c r="B931">
        <v>80211</v>
      </c>
      <c r="C931" t="s">
        <v>13</v>
      </c>
      <c r="D931" t="s">
        <v>89</v>
      </c>
      <c r="E931" t="s">
        <v>15</v>
      </c>
      <c r="F931" t="s">
        <v>16</v>
      </c>
      <c r="G931">
        <v>2.9</v>
      </c>
      <c r="H931" s="1">
        <v>37940</v>
      </c>
      <c r="I931" t="s">
        <v>45</v>
      </c>
      <c r="J931">
        <v>80211</v>
      </c>
      <c r="K931" t="s">
        <v>45</v>
      </c>
      <c r="L931" s="3" t="s">
        <v>21</v>
      </c>
      <c r="M931" cm="1">
        <f t="array" ref="M931">_xlfn.IFS(L930="A", 4, L930="B", 3, L930="C", 2, L930="D", 1)</f>
        <v>1</v>
      </c>
    </row>
    <row r="932" spans="1:13" hidden="1" x14ac:dyDescent="0.2">
      <c r="A932">
        <v>2023</v>
      </c>
      <c r="B932">
        <v>80211</v>
      </c>
      <c r="C932" t="s">
        <v>77</v>
      </c>
      <c r="D932" t="s">
        <v>90</v>
      </c>
      <c r="E932" t="s">
        <v>15</v>
      </c>
      <c r="F932" t="s">
        <v>16</v>
      </c>
      <c r="G932">
        <v>8.1999999999999993</v>
      </c>
      <c r="H932" s="1">
        <v>37940</v>
      </c>
      <c r="I932" t="s">
        <v>43</v>
      </c>
      <c r="J932">
        <v>80211</v>
      </c>
      <c r="K932" t="s">
        <v>43</v>
      </c>
      <c r="L932" s="3" t="s">
        <v>23</v>
      </c>
      <c r="M932" cm="1">
        <f t="array" ref="M932">_xlfn.IFS(L931="A", 4, L931="B", 3, L931="C", 2, L931="D", 1)</f>
        <v>2</v>
      </c>
    </row>
    <row r="933" spans="1:13" hidden="1" x14ac:dyDescent="0.2">
      <c r="A933">
        <v>2023</v>
      </c>
      <c r="B933">
        <v>80211</v>
      </c>
      <c r="C933" t="s">
        <v>77</v>
      </c>
      <c r="D933" t="s">
        <v>90</v>
      </c>
      <c r="E933" t="s">
        <v>15</v>
      </c>
      <c r="F933" t="s">
        <v>16</v>
      </c>
      <c r="G933">
        <v>8.1999999999999993</v>
      </c>
      <c r="H933" s="1">
        <v>37940</v>
      </c>
      <c r="I933" t="s">
        <v>44</v>
      </c>
      <c r="J933">
        <v>80211</v>
      </c>
      <c r="K933" t="s">
        <v>44</v>
      </c>
      <c r="L933" s="3" t="s">
        <v>23</v>
      </c>
      <c r="M933" cm="1">
        <f t="array" ref="M933">_xlfn.IFS(L932="A", 4, L932="B", 3, L932="C", 2, L932="D", 1)</f>
        <v>1</v>
      </c>
    </row>
    <row r="934" spans="1:13" hidden="1" x14ac:dyDescent="0.2">
      <c r="A934">
        <v>2023</v>
      </c>
      <c r="B934">
        <v>80211</v>
      </c>
      <c r="C934" t="s">
        <v>77</v>
      </c>
      <c r="D934" t="s">
        <v>90</v>
      </c>
      <c r="E934" t="s">
        <v>15</v>
      </c>
      <c r="F934" t="s">
        <v>16</v>
      </c>
      <c r="G934">
        <v>8.1999999999999993</v>
      </c>
      <c r="H934" s="1">
        <v>37940</v>
      </c>
      <c r="I934" t="s">
        <v>45</v>
      </c>
      <c r="J934">
        <v>80211</v>
      </c>
      <c r="K934" t="s">
        <v>45</v>
      </c>
      <c r="L934" s="3" t="s">
        <v>21</v>
      </c>
      <c r="M934" cm="1">
        <f t="array" ref="M934">_xlfn.IFS(L933="A", 4, L933="B", 3, L933="C", 2, L933="D", 1)</f>
        <v>1</v>
      </c>
    </row>
    <row r="935" spans="1:13" hidden="1" x14ac:dyDescent="0.2">
      <c r="A935">
        <v>2022</v>
      </c>
      <c r="B935">
        <v>80211</v>
      </c>
      <c r="C935" t="s">
        <v>74</v>
      </c>
      <c r="D935" t="s">
        <v>91</v>
      </c>
      <c r="E935" t="s">
        <v>15</v>
      </c>
      <c r="F935" t="s">
        <v>16</v>
      </c>
      <c r="G935">
        <v>68.900000000000006</v>
      </c>
      <c r="H935" s="1">
        <v>37940</v>
      </c>
      <c r="I935" t="s">
        <v>43</v>
      </c>
      <c r="J935">
        <v>80211</v>
      </c>
      <c r="K935" t="s">
        <v>43</v>
      </c>
      <c r="L935" s="3" t="s">
        <v>23</v>
      </c>
      <c r="M935" cm="1">
        <f t="array" ref="M935">_xlfn.IFS(L934="A", 4, L934="B", 3, L934="C", 2, L934="D", 1)</f>
        <v>2</v>
      </c>
    </row>
    <row r="936" spans="1:13" hidden="1" x14ac:dyDescent="0.2">
      <c r="A936">
        <v>2022</v>
      </c>
      <c r="B936">
        <v>80211</v>
      </c>
      <c r="C936" t="s">
        <v>74</v>
      </c>
      <c r="D936" t="s">
        <v>91</v>
      </c>
      <c r="E936" t="s">
        <v>15</v>
      </c>
      <c r="F936" t="s">
        <v>16</v>
      </c>
      <c r="G936">
        <v>68.900000000000006</v>
      </c>
      <c r="H936" s="1">
        <v>37940</v>
      </c>
      <c r="I936" t="s">
        <v>44</v>
      </c>
      <c r="J936">
        <v>80211</v>
      </c>
      <c r="K936" t="s">
        <v>44</v>
      </c>
      <c r="L936" s="3" t="s">
        <v>23</v>
      </c>
      <c r="M936" cm="1">
        <f t="array" ref="M936">_xlfn.IFS(L935="A", 4, L935="B", 3, L935="C", 2, L935="D", 1)</f>
        <v>1</v>
      </c>
    </row>
    <row r="937" spans="1:13" hidden="1" x14ac:dyDescent="0.2">
      <c r="A937">
        <v>2022</v>
      </c>
      <c r="B937">
        <v>80211</v>
      </c>
      <c r="C937" t="s">
        <v>74</v>
      </c>
      <c r="D937" t="s">
        <v>91</v>
      </c>
      <c r="E937" t="s">
        <v>15</v>
      </c>
      <c r="F937" t="s">
        <v>16</v>
      </c>
      <c r="G937">
        <v>68.900000000000006</v>
      </c>
      <c r="H937" s="1">
        <v>37940</v>
      </c>
      <c r="I937" t="s">
        <v>45</v>
      </c>
      <c r="J937">
        <v>80211</v>
      </c>
      <c r="K937" t="s">
        <v>45</v>
      </c>
      <c r="L937" s="3" t="s">
        <v>21</v>
      </c>
      <c r="M937" cm="1">
        <f t="array" ref="M937">_xlfn.IFS(L936="A", 4, L936="B", 3, L936="C", 2, L936="D", 1)</f>
        <v>1</v>
      </c>
    </row>
    <row r="938" spans="1:13" hidden="1" x14ac:dyDescent="0.2">
      <c r="A938">
        <v>2023</v>
      </c>
      <c r="B938">
        <v>80211</v>
      </c>
      <c r="C938" t="s">
        <v>13</v>
      </c>
      <c r="D938" t="s">
        <v>92</v>
      </c>
      <c r="E938" t="s">
        <v>15</v>
      </c>
      <c r="F938" t="s">
        <v>16</v>
      </c>
      <c r="G938">
        <v>24</v>
      </c>
      <c r="H938" s="1">
        <v>37940</v>
      </c>
      <c r="I938" t="s">
        <v>43</v>
      </c>
      <c r="J938">
        <v>80211</v>
      </c>
      <c r="K938" t="s">
        <v>43</v>
      </c>
      <c r="L938" s="3" t="s">
        <v>23</v>
      </c>
      <c r="M938" cm="1">
        <f t="array" ref="M938">_xlfn.IFS(L937="A", 4, L937="B", 3, L937="C", 2, L937="D", 1)</f>
        <v>2</v>
      </c>
    </row>
    <row r="939" spans="1:13" hidden="1" x14ac:dyDescent="0.2">
      <c r="A939">
        <v>2023</v>
      </c>
      <c r="B939">
        <v>80211</v>
      </c>
      <c r="C939" t="s">
        <v>13</v>
      </c>
      <c r="D939" t="s">
        <v>92</v>
      </c>
      <c r="E939" t="s">
        <v>15</v>
      </c>
      <c r="F939" t="s">
        <v>16</v>
      </c>
      <c r="G939">
        <v>24</v>
      </c>
      <c r="H939" s="1">
        <v>37940</v>
      </c>
      <c r="I939" t="s">
        <v>44</v>
      </c>
      <c r="J939">
        <v>80211</v>
      </c>
      <c r="K939" t="s">
        <v>44</v>
      </c>
      <c r="L939" s="3" t="s">
        <v>23</v>
      </c>
      <c r="M939" cm="1">
        <f t="array" ref="M939">_xlfn.IFS(L938="A", 4, L938="B", 3, L938="C", 2, L938="D", 1)</f>
        <v>1</v>
      </c>
    </row>
    <row r="940" spans="1:13" hidden="1" x14ac:dyDescent="0.2">
      <c r="A940">
        <v>2023</v>
      </c>
      <c r="B940">
        <v>80211</v>
      </c>
      <c r="C940" t="s">
        <v>13</v>
      </c>
      <c r="D940" t="s">
        <v>92</v>
      </c>
      <c r="E940" t="s">
        <v>15</v>
      </c>
      <c r="F940" t="s">
        <v>16</v>
      </c>
      <c r="G940">
        <v>24</v>
      </c>
      <c r="H940" s="1">
        <v>37940</v>
      </c>
      <c r="I940" t="s">
        <v>45</v>
      </c>
      <c r="J940">
        <v>80211</v>
      </c>
      <c r="K940" t="s">
        <v>45</v>
      </c>
      <c r="L940" s="3" t="s">
        <v>21</v>
      </c>
      <c r="M940" cm="1">
        <f t="array" ref="M940">_xlfn.IFS(L939="A", 4, L939="B", 3, L939="C", 2, L939="D", 1)</f>
        <v>1</v>
      </c>
    </row>
    <row r="941" spans="1:13" hidden="1" x14ac:dyDescent="0.2">
      <c r="A941">
        <v>2023</v>
      </c>
      <c r="B941">
        <v>80211</v>
      </c>
      <c r="C941" t="s">
        <v>13</v>
      </c>
      <c r="D941" t="s">
        <v>14</v>
      </c>
      <c r="E941" t="s">
        <v>15</v>
      </c>
      <c r="F941" t="s">
        <v>16</v>
      </c>
      <c r="G941">
        <v>5</v>
      </c>
      <c r="H941" s="1">
        <v>37940</v>
      </c>
      <c r="I941" t="s">
        <v>43</v>
      </c>
      <c r="J941">
        <v>80211</v>
      </c>
      <c r="K941" t="s">
        <v>43</v>
      </c>
      <c r="L941" s="3" t="s">
        <v>23</v>
      </c>
      <c r="M941" cm="1">
        <f t="array" ref="M941">_xlfn.IFS(L940="A", 4, L940="B", 3, L940="C", 2, L940="D", 1)</f>
        <v>2</v>
      </c>
    </row>
    <row r="942" spans="1:13" hidden="1" x14ac:dyDescent="0.2">
      <c r="A942">
        <v>2023</v>
      </c>
      <c r="B942">
        <v>80211</v>
      </c>
      <c r="C942" t="s">
        <v>13</v>
      </c>
      <c r="D942" t="s">
        <v>14</v>
      </c>
      <c r="E942" t="s">
        <v>15</v>
      </c>
      <c r="F942" t="s">
        <v>16</v>
      </c>
      <c r="G942">
        <v>5</v>
      </c>
      <c r="H942" s="1">
        <v>37940</v>
      </c>
      <c r="I942" t="s">
        <v>44</v>
      </c>
      <c r="J942">
        <v>80211</v>
      </c>
      <c r="K942" t="s">
        <v>44</v>
      </c>
      <c r="L942" s="3" t="s">
        <v>23</v>
      </c>
      <c r="M942" cm="1">
        <f t="array" ref="M942">_xlfn.IFS(L941="A", 4, L941="B", 3, L941="C", 2, L941="D", 1)</f>
        <v>1</v>
      </c>
    </row>
    <row r="943" spans="1:13" hidden="1" x14ac:dyDescent="0.2">
      <c r="A943">
        <v>2023</v>
      </c>
      <c r="B943">
        <v>80211</v>
      </c>
      <c r="C943" t="s">
        <v>13</v>
      </c>
      <c r="D943" t="s">
        <v>14</v>
      </c>
      <c r="E943" t="s">
        <v>15</v>
      </c>
      <c r="F943" t="s">
        <v>16</v>
      </c>
      <c r="G943">
        <v>5</v>
      </c>
      <c r="H943" s="1">
        <v>37940</v>
      </c>
      <c r="I943" t="s">
        <v>45</v>
      </c>
      <c r="J943">
        <v>80211</v>
      </c>
      <c r="K943" t="s">
        <v>45</v>
      </c>
      <c r="L943" s="3" t="s">
        <v>21</v>
      </c>
      <c r="M943" cm="1">
        <f t="array" ref="M943">_xlfn.IFS(L942="A", 4, L942="B", 3, L942="C", 2, L942="D", 1)</f>
        <v>1</v>
      </c>
    </row>
    <row r="944" spans="1:13" hidden="1" x14ac:dyDescent="0.2">
      <c r="A944">
        <v>2023</v>
      </c>
      <c r="B944">
        <v>80211</v>
      </c>
      <c r="C944" t="s">
        <v>86</v>
      </c>
      <c r="D944" t="s">
        <v>93</v>
      </c>
      <c r="E944" t="s">
        <v>15</v>
      </c>
      <c r="F944" t="s">
        <v>16</v>
      </c>
      <c r="G944">
        <v>20.5</v>
      </c>
      <c r="H944" s="1">
        <v>37940</v>
      </c>
      <c r="I944" t="s">
        <v>43</v>
      </c>
      <c r="J944">
        <v>80211</v>
      </c>
      <c r="K944" t="s">
        <v>43</v>
      </c>
      <c r="L944" s="3" t="s">
        <v>23</v>
      </c>
      <c r="M944" cm="1">
        <f t="array" ref="M944">_xlfn.IFS(L943="A", 4, L943="B", 3, L943="C", 2, L943="D", 1)</f>
        <v>2</v>
      </c>
    </row>
    <row r="945" spans="1:13" hidden="1" x14ac:dyDescent="0.2">
      <c r="A945">
        <v>2023</v>
      </c>
      <c r="B945">
        <v>80211</v>
      </c>
      <c r="C945" t="s">
        <v>86</v>
      </c>
      <c r="D945" t="s">
        <v>93</v>
      </c>
      <c r="E945" t="s">
        <v>15</v>
      </c>
      <c r="F945" t="s">
        <v>16</v>
      </c>
      <c r="G945">
        <v>20.5</v>
      </c>
      <c r="H945" s="1">
        <v>37940</v>
      </c>
      <c r="I945" t="s">
        <v>44</v>
      </c>
      <c r="J945">
        <v>80211</v>
      </c>
      <c r="K945" t="s">
        <v>44</v>
      </c>
      <c r="L945" s="3" t="s">
        <v>23</v>
      </c>
      <c r="M945" cm="1">
        <f t="array" ref="M945">_xlfn.IFS(L944="A", 4, L944="B", 3, L944="C", 2, L944="D", 1)</f>
        <v>1</v>
      </c>
    </row>
    <row r="946" spans="1:13" hidden="1" x14ac:dyDescent="0.2">
      <c r="A946">
        <v>2023</v>
      </c>
      <c r="B946">
        <v>80211</v>
      </c>
      <c r="C946" t="s">
        <v>86</v>
      </c>
      <c r="D946" t="s">
        <v>93</v>
      </c>
      <c r="E946" t="s">
        <v>15</v>
      </c>
      <c r="F946" t="s">
        <v>16</v>
      </c>
      <c r="G946">
        <v>20.5</v>
      </c>
      <c r="H946" s="1">
        <v>37940</v>
      </c>
      <c r="I946" t="s">
        <v>45</v>
      </c>
      <c r="J946">
        <v>80211</v>
      </c>
      <c r="K946" t="s">
        <v>45</v>
      </c>
      <c r="L946" s="3" t="s">
        <v>21</v>
      </c>
      <c r="M946" cm="1">
        <f t="array" ref="M946">_xlfn.IFS(L945="A", 4, L945="B", 3, L945="C", 2, L945="D", 1)</f>
        <v>1</v>
      </c>
    </row>
    <row r="947" spans="1:13" hidden="1" x14ac:dyDescent="0.2">
      <c r="A947">
        <v>2023</v>
      </c>
      <c r="B947">
        <v>80211</v>
      </c>
      <c r="C947" t="s">
        <v>94</v>
      </c>
      <c r="D947" t="s">
        <v>95</v>
      </c>
      <c r="E947" t="s">
        <v>15</v>
      </c>
      <c r="F947" t="s">
        <v>16</v>
      </c>
      <c r="G947">
        <v>10.8</v>
      </c>
      <c r="H947" s="1">
        <v>37940</v>
      </c>
      <c r="I947" t="s">
        <v>43</v>
      </c>
      <c r="J947">
        <v>80211</v>
      </c>
      <c r="K947" t="s">
        <v>43</v>
      </c>
      <c r="L947" s="3" t="s">
        <v>23</v>
      </c>
      <c r="M947" cm="1">
        <f t="array" ref="M947">_xlfn.IFS(L946="A", 4, L946="B", 3, L946="C", 2, L946="D", 1)</f>
        <v>2</v>
      </c>
    </row>
    <row r="948" spans="1:13" hidden="1" x14ac:dyDescent="0.2">
      <c r="A948">
        <v>2023</v>
      </c>
      <c r="B948">
        <v>80211</v>
      </c>
      <c r="C948" t="s">
        <v>94</v>
      </c>
      <c r="D948" t="s">
        <v>95</v>
      </c>
      <c r="E948" t="s">
        <v>15</v>
      </c>
      <c r="F948" t="s">
        <v>16</v>
      </c>
      <c r="G948">
        <v>10.8</v>
      </c>
      <c r="H948" s="1">
        <v>37940</v>
      </c>
      <c r="I948" t="s">
        <v>44</v>
      </c>
      <c r="J948">
        <v>80211</v>
      </c>
      <c r="K948" t="s">
        <v>44</v>
      </c>
      <c r="L948" s="3" t="s">
        <v>23</v>
      </c>
      <c r="M948" cm="1">
        <f t="array" ref="M948">_xlfn.IFS(L947="A", 4, L947="B", 3, L947="C", 2, L947="D", 1)</f>
        <v>1</v>
      </c>
    </row>
    <row r="949" spans="1:13" hidden="1" x14ac:dyDescent="0.2">
      <c r="A949">
        <v>2023</v>
      </c>
      <c r="B949">
        <v>80211</v>
      </c>
      <c r="C949" t="s">
        <v>94</v>
      </c>
      <c r="D949" t="s">
        <v>95</v>
      </c>
      <c r="E949" t="s">
        <v>15</v>
      </c>
      <c r="F949" t="s">
        <v>16</v>
      </c>
      <c r="G949">
        <v>10.8</v>
      </c>
      <c r="H949" s="1">
        <v>37940</v>
      </c>
      <c r="I949" t="s">
        <v>45</v>
      </c>
      <c r="J949">
        <v>80211</v>
      </c>
      <c r="K949" t="s">
        <v>45</v>
      </c>
      <c r="L949" s="3" t="s">
        <v>21</v>
      </c>
      <c r="M949" cm="1">
        <f t="array" ref="M949">_xlfn.IFS(L948="A", 4, L948="B", 3, L948="C", 2, L948="D", 1)</f>
        <v>1</v>
      </c>
    </row>
    <row r="950" spans="1:13" hidden="1" x14ac:dyDescent="0.2">
      <c r="A950">
        <v>2023</v>
      </c>
      <c r="B950">
        <v>80211</v>
      </c>
      <c r="C950" t="s">
        <v>86</v>
      </c>
      <c r="D950" t="s">
        <v>96</v>
      </c>
      <c r="E950" t="s">
        <v>15</v>
      </c>
      <c r="F950" t="s">
        <v>16</v>
      </c>
      <c r="G950">
        <v>4.0999999999999996</v>
      </c>
      <c r="H950" s="1">
        <v>37940</v>
      </c>
      <c r="I950" t="s">
        <v>43</v>
      </c>
      <c r="J950">
        <v>80211</v>
      </c>
      <c r="K950" t="s">
        <v>43</v>
      </c>
      <c r="L950" s="3" t="s">
        <v>23</v>
      </c>
      <c r="M950" cm="1">
        <f t="array" ref="M950">_xlfn.IFS(L949="A", 4, L949="B", 3, L949="C", 2, L949="D", 1)</f>
        <v>2</v>
      </c>
    </row>
    <row r="951" spans="1:13" hidden="1" x14ac:dyDescent="0.2">
      <c r="A951">
        <v>2023</v>
      </c>
      <c r="B951">
        <v>80211</v>
      </c>
      <c r="C951" t="s">
        <v>86</v>
      </c>
      <c r="D951" t="s">
        <v>96</v>
      </c>
      <c r="E951" t="s">
        <v>15</v>
      </c>
      <c r="F951" t="s">
        <v>16</v>
      </c>
      <c r="G951">
        <v>4.0999999999999996</v>
      </c>
      <c r="H951" s="1">
        <v>37940</v>
      </c>
      <c r="I951" t="s">
        <v>44</v>
      </c>
      <c r="J951">
        <v>80211</v>
      </c>
      <c r="K951" t="s">
        <v>44</v>
      </c>
      <c r="L951" s="3" t="s">
        <v>23</v>
      </c>
      <c r="M951" cm="1">
        <f t="array" ref="M951">_xlfn.IFS(L950="A", 4, L950="B", 3, L950="C", 2, L950="D", 1)</f>
        <v>1</v>
      </c>
    </row>
    <row r="952" spans="1:13" hidden="1" x14ac:dyDescent="0.2">
      <c r="A952">
        <v>2023</v>
      </c>
      <c r="B952">
        <v>80211</v>
      </c>
      <c r="C952" t="s">
        <v>86</v>
      </c>
      <c r="D952" t="s">
        <v>96</v>
      </c>
      <c r="E952" t="s">
        <v>15</v>
      </c>
      <c r="F952" t="s">
        <v>16</v>
      </c>
      <c r="G952">
        <v>4.0999999999999996</v>
      </c>
      <c r="H952" s="1">
        <v>37940</v>
      </c>
      <c r="I952" t="s">
        <v>45</v>
      </c>
      <c r="J952">
        <v>80211</v>
      </c>
      <c r="K952" t="s">
        <v>45</v>
      </c>
      <c r="L952" s="3" t="s">
        <v>21</v>
      </c>
      <c r="M952" cm="1">
        <f t="array" ref="M952">_xlfn.IFS(L951="A", 4, L951="B", 3, L951="C", 2, L951="D", 1)</f>
        <v>1</v>
      </c>
    </row>
    <row r="953" spans="1:13" hidden="1" x14ac:dyDescent="0.2">
      <c r="A953">
        <v>2023</v>
      </c>
      <c r="B953">
        <v>80211</v>
      </c>
      <c r="C953" t="s">
        <v>13</v>
      </c>
      <c r="D953" t="s">
        <v>97</v>
      </c>
      <c r="E953" t="s">
        <v>15</v>
      </c>
      <c r="F953" t="s">
        <v>16</v>
      </c>
      <c r="G953">
        <v>24.5</v>
      </c>
      <c r="H953" s="1">
        <v>37940</v>
      </c>
      <c r="I953" t="s">
        <v>43</v>
      </c>
      <c r="J953">
        <v>80211</v>
      </c>
      <c r="K953" t="s">
        <v>43</v>
      </c>
      <c r="L953" s="3" t="s">
        <v>23</v>
      </c>
      <c r="M953" cm="1">
        <f t="array" ref="M953">_xlfn.IFS(L952="A", 4, L952="B", 3, L952="C", 2, L952="D", 1)</f>
        <v>2</v>
      </c>
    </row>
    <row r="954" spans="1:13" hidden="1" x14ac:dyDescent="0.2">
      <c r="A954">
        <v>2023</v>
      </c>
      <c r="B954">
        <v>80211</v>
      </c>
      <c r="C954" t="s">
        <v>13</v>
      </c>
      <c r="D954" t="s">
        <v>97</v>
      </c>
      <c r="E954" t="s">
        <v>15</v>
      </c>
      <c r="F954" t="s">
        <v>16</v>
      </c>
      <c r="G954">
        <v>24.5</v>
      </c>
      <c r="H954" s="1">
        <v>37940</v>
      </c>
      <c r="I954" t="s">
        <v>44</v>
      </c>
      <c r="J954">
        <v>80211</v>
      </c>
      <c r="K954" t="s">
        <v>44</v>
      </c>
      <c r="L954" s="3" t="s">
        <v>23</v>
      </c>
      <c r="M954" cm="1">
        <f t="array" ref="M954">_xlfn.IFS(L953="A", 4, L953="B", 3, L953="C", 2, L953="D", 1)</f>
        <v>1</v>
      </c>
    </row>
    <row r="955" spans="1:13" hidden="1" x14ac:dyDescent="0.2">
      <c r="A955">
        <v>2023</v>
      </c>
      <c r="B955">
        <v>80211</v>
      </c>
      <c r="C955" t="s">
        <v>13</v>
      </c>
      <c r="D955" t="s">
        <v>97</v>
      </c>
      <c r="E955" t="s">
        <v>15</v>
      </c>
      <c r="F955" t="s">
        <v>16</v>
      </c>
      <c r="G955">
        <v>24.5</v>
      </c>
      <c r="H955" s="1">
        <v>37940</v>
      </c>
      <c r="I955" t="s">
        <v>45</v>
      </c>
      <c r="J955">
        <v>80211</v>
      </c>
      <c r="K955" t="s">
        <v>45</v>
      </c>
      <c r="L955" s="3" t="s">
        <v>21</v>
      </c>
      <c r="M955" cm="1">
        <f t="array" ref="M955">_xlfn.IFS(L954="A", 4, L954="B", 3, L954="C", 2, L954="D", 1)</f>
        <v>1</v>
      </c>
    </row>
    <row r="956" spans="1:13" hidden="1" x14ac:dyDescent="0.2">
      <c r="A956">
        <v>2023</v>
      </c>
      <c r="B956">
        <v>80211</v>
      </c>
      <c r="C956" t="s">
        <v>86</v>
      </c>
      <c r="D956" t="s">
        <v>98</v>
      </c>
      <c r="E956" t="s">
        <v>15</v>
      </c>
      <c r="F956" t="s">
        <v>16</v>
      </c>
      <c r="G956">
        <v>5.0999999999999996</v>
      </c>
      <c r="H956" s="1">
        <v>37940</v>
      </c>
      <c r="I956" t="s">
        <v>43</v>
      </c>
      <c r="J956">
        <v>80211</v>
      </c>
      <c r="K956" t="s">
        <v>43</v>
      </c>
      <c r="L956" s="3" t="s">
        <v>23</v>
      </c>
      <c r="M956" cm="1">
        <f t="array" ref="M956">_xlfn.IFS(L955="A", 4, L955="B", 3, L955="C", 2, L955="D", 1)</f>
        <v>2</v>
      </c>
    </row>
    <row r="957" spans="1:13" hidden="1" x14ac:dyDescent="0.2">
      <c r="A957">
        <v>2023</v>
      </c>
      <c r="B957">
        <v>80211</v>
      </c>
      <c r="C957" t="s">
        <v>86</v>
      </c>
      <c r="D957" t="s">
        <v>98</v>
      </c>
      <c r="E957" t="s">
        <v>15</v>
      </c>
      <c r="F957" t="s">
        <v>16</v>
      </c>
      <c r="G957">
        <v>5.0999999999999996</v>
      </c>
      <c r="H957" s="1">
        <v>37940</v>
      </c>
      <c r="I957" t="s">
        <v>44</v>
      </c>
      <c r="J957">
        <v>80211</v>
      </c>
      <c r="K957" t="s">
        <v>44</v>
      </c>
      <c r="L957" s="3" t="s">
        <v>23</v>
      </c>
      <c r="M957" cm="1">
        <f t="array" ref="M957">_xlfn.IFS(L956="A", 4, L956="B", 3, L956="C", 2, L956="D", 1)</f>
        <v>1</v>
      </c>
    </row>
    <row r="958" spans="1:13" hidden="1" x14ac:dyDescent="0.2">
      <c r="A958">
        <v>2023</v>
      </c>
      <c r="B958">
        <v>80211</v>
      </c>
      <c r="C958" t="s">
        <v>86</v>
      </c>
      <c r="D958" t="s">
        <v>98</v>
      </c>
      <c r="E958" t="s">
        <v>15</v>
      </c>
      <c r="F958" t="s">
        <v>16</v>
      </c>
      <c r="G958">
        <v>5.0999999999999996</v>
      </c>
      <c r="H958" s="1">
        <v>37940</v>
      </c>
      <c r="I958" t="s">
        <v>45</v>
      </c>
      <c r="J958">
        <v>80211</v>
      </c>
      <c r="K958" t="s">
        <v>45</v>
      </c>
      <c r="L958" s="3" t="s">
        <v>21</v>
      </c>
      <c r="M958" cm="1">
        <f t="array" ref="M958">_xlfn.IFS(L957="A", 4, L957="B", 3, L957="C", 2, L957="D", 1)</f>
        <v>1</v>
      </c>
    </row>
    <row r="959" spans="1:13" hidden="1" x14ac:dyDescent="0.2">
      <c r="A959">
        <v>2023</v>
      </c>
      <c r="B959">
        <v>80211</v>
      </c>
      <c r="C959" t="s">
        <v>77</v>
      </c>
      <c r="D959" t="s">
        <v>99</v>
      </c>
      <c r="E959" t="s">
        <v>15</v>
      </c>
      <c r="F959" t="s">
        <v>16</v>
      </c>
      <c r="G959">
        <v>13</v>
      </c>
      <c r="H959" s="1">
        <v>37940</v>
      </c>
      <c r="I959" t="s">
        <v>43</v>
      </c>
      <c r="J959">
        <v>80211</v>
      </c>
      <c r="K959" t="s">
        <v>43</v>
      </c>
      <c r="L959" s="3" t="s">
        <v>23</v>
      </c>
      <c r="M959" cm="1">
        <f t="array" ref="M959">_xlfn.IFS(L958="A", 4, L958="B", 3, L958="C", 2, L958="D", 1)</f>
        <v>2</v>
      </c>
    </row>
    <row r="960" spans="1:13" hidden="1" x14ac:dyDescent="0.2">
      <c r="A960">
        <v>2023</v>
      </c>
      <c r="B960">
        <v>80211</v>
      </c>
      <c r="C960" t="s">
        <v>77</v>
      </c>
      <c r="D960" t="s">
        <v>99</v>
      </c>
      <c r="E960" t="s">
        <v>15</v>
      </c>
      <c r="F960" t="s">
        <v>16</v>
      </c>
      <c r="G960">
        <v>13</v>
      </c>
      <c r="H960" s="1">
        <v>37940</v>
      </c>
      <c r="I960" t="s">
        <v>44</v>
      </c>
      <c r="J960">
        <v>80211</v>
      </c>
      <c r="K960" t="s">
        <v>44</v>
      </c>
      <c r="L960" s="3" t="s">
        <v>23</v>
      </c>
      <c r="M960" cm="1">
        <f t="array" ref="M960">_xlfn.IFS(L959="A", 4, L959="B", 3, L959="C", 2, L959="D", 1)</f>
        <v>1</v>
      </c>
    </row>
    <row r="961" spans="1:13" hidden="1" x14ac:dyDescent="0.2">
      <c r="A961">
        <v>2023</v>
      </c>
      <c r="B961">
        <v>80211</v>
      </c>
      <c r="C961" t="s">
        <v>77</v>
      </c>
      <c r="D961" t="s">
        <v>99</v>
      </c>
      <c r="E961" t="s">
        <v>15</v>
      </c>
      <c r="F961" t="s">
        <v>16</v>
      </c>
      <c r="G961">
        <v>13</v>
      </c>
      <c r="H961" s="1">
        <v>37940</v>
      </c>
      <c r="I961" t="s">
        <v>45</v>
      </c>
      <c r="J961">
        <v>80211</v>
      </c>
      <c r="K961" t="s">
        <v>45</v>
      </c>
      <c r="L961" s="3" t="s">
        <v>21</v>
      </c>
      <c r="M961" cm="1">
        <f t="array" ref="M961">_xlfn.IFS(L960="A", 4, L960="B", 3, L960="C", 2, L960="D", 1)</f>
        <v>1</v>
      </c>
    </row>
    <row r="962" spans="1:13" hidden="1" x14ac:dyDescent="0.2">
      <c r="A962">
        <v>2022</v>
      </c>
      <c r="B962">
        <v>80211</v>
      </c>
      <c r="C962" t="s">
        <v>74</v>
      </c>
      <c r="D962" t="s">
        <v>100</v>
      </c>
      <c r="E962" t="s">
        <v>15</v>
      </c>
      <c r="F962" t="s">
        <v>16</v>
      </c>
      <c r="G962">
        <v>73.900000000000006</v>
      </c>
      <c r="H962" s="1">
        <v>37940</v>
      </c>
      <c r="I962" t="s">
        <v>43</v>
      </c>
      <c r="J962">
        <v>80211</v>
      </c>
      <c r="K962" t="s">
        <v>43</v>
      </c>
      <c r="L962" s="3" t="s">
        <v>23</v>
      </c>
      <c r="M962" cm="1">
        <f t="array" ref="M962">_xlfn.IFS(L961="A", 4, L961="B", 3, L961="C", 2, L961="D", 1)</f>
        <v>2</v>
      </c>
    </row>
    <row r="963" spans="1:13" hidden="1" x14ac:dyDescent="0.2">
      <c r="A963">
        <v>2022</v>
      </c>
      <c r="B963">
        <v>80211</v>
      </c>
      <c r="C963" t="s">
        <v>74</v>
      </c>
      <c r="D963" t="s">
        <v>100</v>
      </c>
      <c r="E963" t="s">
        <v>15</v>
      </c>
      <c r="F963" t="s">
        <v>16</v>
      </c>
      <c r="G963">
        <v>73.900000000000006</v>
      </c>
      <c r="H963" s="1">
        <v>37940</v>
      </c>
      <c r="I963" t="s">
        <v>44</v>
      </c>
      <c r="J963">
        <v>80211</v>
      </c>
      <c r="K963" t="s">
        <v>44</v>
      </c>
      <c r="L963" s="3" t="s">
        <v>23</v>
      </c>
      <c r="M963" cm="1">
        <f t="array" ref="M963">_xlfn.IFS(L962="A", 4, L962="B", 3, L962="C", 2, L962="D", 1)</f>
        <v>1</v>
      </c>
    </row>
    <row r="964" spans="1:13" hidden="1" x14ac:dyDescent="0.2">
      <c r="A964">
        <v>2022</v>
      </c>
      <c r="B964">
        <v>80211</v>
      </c>
      <c r="C964" t="s">
        <v>74</v>
      </c>
      <c r="D964" t="s">
        <v>100</v>
      </c>
      <c r="E964" t="s">
        <v>15</v>
      </c>
      <c r="F964" t="s">
        <v>16</v>
      </c>
      <c r="G964">
        <v>73.900000000000006</v>
      </c>
      <c r="H964" s="1">
        <v>37940</v>
      </c>
      <c r="I964" t="s">
        <v>45</v>
      </c>
      <c r="J964">
        <v>80211</v>
      </c>
      <c r="K964" t="s">
        <v>45</v>
      </c>
      <c r="L964" s="3" t="s">
        <v>21</v>
      </c>
      <c r="M964" cm="1">
        <f t="array" ref="M964">_xlfn.IFS(L963="A", 4, L963="B", 3, L963="C", 2, L963="D", 1)</f>
        <v>1</v>
      </c>
    </row>
    <row r="965" spans="1:13" hidden="1" x14ac:dyDescent="0.2">
      <c r="A965">
        <v>2023</v>
      </c>
      <c r="B965">
        <v>80211</v>
      </c>
      <c r="C965" t="s">
        <v>94</v>
      </c>
      <c r="D965" t="s">
        <v>101</v>
      </c>
      <c r="E965" t="s">
        <v>15</v>
      </c>
      <c r="F965" t="s">
        <v>16</v>
      </c>
      <c r="G965">
        <v>14.9</v>
      </c>
      <c r="H965" s="1">
        <v>37940</v>
      </c>
      <c r="I965" t="s">
        <v>43</v>
      </c>
      <c r="J965">
        <v>80211</v>
      </c>
      <c r="K965" t="s">
        <v>43</v>
      </c>
      <c r="L965" s="3" t="s">
        <v>23</v>
      </c>
      <c r="M965" cm="1">
        <f t="array" ref="M965">_xlfn.IFS(L964="A", 4, L964="B", 3, L964="C", 2, L964="D", 1)</f>
        <v>2</v>
      </c>
    </row>
    <row r="966" spans="1:13" hidden="1" x14ac:dyDescent="0.2">
      <c r="A966">
        <v>2023</v>
      </c>
      <c r="B966">
        <v>80211</v>
      </c>
      <c r="C966" t="s">
        <v>94</v>
      </c>
      <c r="D966" t="s">
        <v>101</v>
      </c>
      <c r="E966" t="s">
        <v>15</v>
      </c>
      <c r="F966" t="s">
        <v>16</v>
      </c>
      <c r="G966">
        <v>14.9</v>
      </c>
      <c r="H966" s="1">
        <v>37940</v>
      </c>
      <c r="I966" t="s">
        <v>44</v>
      </c>
      <c r="J966">
        <v>80211</v>
      </c>
      <c r="K966" t="s">
        <v>44</v>
      </c>
      <c r="L966" s="3" t="s">
        <v>23</v>
      </c>
      <c r="M966" cm="1">
        <f t="array" ref="M966">_xlfn.IFS(L965="A", 4, L965="B", 3, L965="C", 2, L965="D", 1)</f>
        <v>1</v>
      </c>
    </row>
    <row r="967" spans="1:13" hidden="1" x14ac:dyDescent="0.2">
      <c r="A967">
        <v>2023</v>
      </c>
      <c r="B967">
        <v>80211</v>
      </c>
      <c r="C967" t="s">
        <v>94</v>
      </c>
      <c r="D967" t="s">
        <v>101</v>
      </c>
      <c r="E967" t="s">
        <v>15</v>
      </c>
      <c r="F967" t="s">
        <v>16</v>
      </c>
      <c r="G967">
        <v>14.9</v>
      </c>
      <c r="H967" s="1">
        <v>37940</v>
      </c>
      <c r="I967" t="s">
        <v>45</v>
      </c>
      <c r="J967">
        <v>80211</v>
      </c>
      <c r="K967" t="s">
        <v>45</v>
      </c>
      <c r="L967" s="3" t="s">
        <v>21</v>
      </c>
      <c r="M967" cm="1">
        <f t="array" ref="M967">_xlfn.IFS(L966="A", 4, L966="B", 3, L966="C", 2, L966="D", 1)</f>
        <v>1</v>
      </c>
    </row>
    <row r="968" spans="1:13" hidden="1" x14ac:dyDescent="0.2">
      <c r="A968">
        <v>2023</v>
      </c>
      <c r="B968">
        <v>80211</v>
      </c>
      <c r="C968" t="s">
        <v>86</v>
      </c>
      <c r="D968" t="s">
        <v>102</v>
      </c>
      <c r="E968" t="s">
        <v>15</v>
      </c>
      <c r="F968" t="s">
        <v>16</v>
      </c>
      <c r="G968">
        <v>6.1</v>
      </c>
      <c r="H968" s="1">
        <v>37940</v>
      </c>
      <c r="I968" t="s">
        <v>43</v>
      </c>
      <c r="J968">
        <v>80211</v>
      </c>
      <c r="K968" t="s">
        <v>43</v>
      </c>
      <c r="L968" s="3" t="s">
        <v>23</v>
      </c>
      <c r="M968" cm="1">
        <f t="array" ref="M968">_xlfn.IFS(L967="A", 4, L967="B", 3, L967="C", 2, L967="D", 1)</f>
        <v>2</v>
      </c>
    </row>
    <row r="969" spans="1:13" hidden="1" x14ac:dyDescent="0.2">
      <c r="A969">
        <v>2023</v>
      </c>
      <c r="B969">
        <v>80211</v>
      </c>
      <c r="C969" t="s">
        <v>86</v>
      </c>
      <c r="D969" t="s">
        <v>102</v>
      </c>
      <c r="E969" t="s">
        <v>15</v>
      </c>
      <c r="F969" t="s">
        <v>16</v>
      </c>
      <c r="G969">
        <v>6.1</v>
      </c>
      <c r="H969" s="1">
        <v>37940</v>
      </c>
      <c r="I969" t="s">
        <v>44</v>
      </c>
      <c r="J969">
        <v>80211</v>
      </c>
      <c r="K969" t="s">
        <v>44</v>
      </c>
      <c r="L969" s="3" t="s">
        <v>23</v>
      </c>
      <c r="M969" cm="1">
        <f t="array" ref="M969">_xlfn.IFS(L968="A", 4, L968="B", 3, L968="C", 2, L968="D", 1)</f>
        <v>1</v>
      </c>
    </row>
    <row r="970" spans="1:13" hidden="1" x14ac:dyDescent="0.2">
      <c r="A970">
        <v>2023</v>
      </c>
      <c r="B970">
        <v>80211</v>
      </c>
      <c r="C970" t="s">
        <v>86</v>
      </c>
      <c r="D970" t="s">
        <v>102</v>
      </c>
      <c r="E970" t="s">
        <v>15</v>
      </c>
      <c r="F970" t="s">
        <v>16</v>
      </c>
      <c r="G970">
        <v>6.1</v>
      </c>
      <c r="H970" s="1">
        <v>37940</v>
      </c>
      <c r="I970" t="s">
        <v>45</v>
      </c>
      <c r="J970">
        <v>80211</v>
      </c>
      <c r="K970" t="s">
        <v>45</v>
      </c>
      <c r="L970" s="3" t="s">
        <v>21</v>
      </c>
      <c r="M970" cm="1">
        <f t="array" ref="M970">_xlfn.IFS(L969="A", 4, L969="B", 3, L969="C", 2, L969="D", 1)</f>
        <v>1</v>
      </c>
    </row>
    <row r="971" spans="1:13" hidden="1" x14ac:dyDescent="0.2">
      <c r="A971">
        <v>2023</v>
      </c>
      <c r="B971">
        <v>80211</v>
      </c>
      <c r="C971" t="s">
        <v>13</v>
      </c>
      <c r="D971" t="s">
        <v>103</v>
      </c>
      <c r="E971" t="s">
        <v>15</v>
      </c>
      <c r="F971" t="s">
        <v>16</v>
      </c>
      <c r="G971">
        <v>19.399999999999999</v>
      </c>
      <c r="H971" s="1">
        <v>37940</v>
      </c>
      <c r="I971" t="s">
        <v>43</v>
      </c>
      <c r="J971">
        <v>80211</v>
      </c>
      <c r="K971" t="s">
        <v>43</v>
      </c>
      <c r="L971" s="3" t="s">
        <v>23</v>
      </c>
      <c r="M971" cm="1">
        <f t="array" ref="M971">_xlfn.IFS(L970="A", 4, L970="B", 3, L970="C", 2, L970="D", 1)</f>
        <v>2</v>
      </c>
    </row>
    <row r="972" spans="1:13" hidden="1" x14ac:dyDescent="0.2">
      <c r="A972">
        <v>2023</v>
      </c>
      <c r="B972">
        <v>80211</v>
      </c>
      <c r="C972" t="s">
        <v>13</v>
      </c>
      <c r="D972" t="s">
        <v>103</v>
      </c>
      <c r="E972" t="s">
        <v>15</v>
      </c>
      <c r="F972" t="s">
        <v>16</v>
      </c>
      <c r="G972">
        <v>19.399999999999999</v>
      </c>
      <c r="H972" s="1">
        <v>37940</v>
      </c>
      <c r="I972" t="s">
        <v>44</v>
      </c>
      <c r="J972">
        <v>80211</v>
      </c>
      <c r="K972" t="s">
        <v>44</v>
      </c>
      <c r="L972" s="3" t="s">
        <v>23</v>
      </c>
      <c r="M972" cm="1">
        <f t="array" ref="M972">_xlfn.IFS(L971="A", 4, L971="B", 3, L971="C", 2, L971="D", 1)</f>
        <v>1</v>
      </c>
    </row>
    <row r="973" spans="1:13" hidden="1" x14ac:dyDescent="0.2">
      <c r="A973">
        <v>2023</v>
      </c>
      <c r="B973">
        <v>80211</v>
      </c>
      <c r="C973" t="s">
        <v>13</v>
      </c>
      <c r="D973" t="s">
        <v>103</v>
      </c>
      <c r="E973" t="s">
        <v>15</v>
      </c>
      <c r="F973" t="s">
        <v>16</v>
      </c>
      <c r="G973">
        <v>19.399999999999999</v>
      </c>
      <c r="H973" s="1">
        <v>37940</v>
      </c>
      <c r="I973" t="s">
        <v>45</v>
      </c>
      <c r="J973">
        <v>80211</v>
      </c>
      <c r="K973" t="s">
        <v>45</v>
      </c>
      <c r="L973" s="3" t="s">
        <v>21</v>
      </c>
      <c r="M973" cm="1">
        <f t="array" ref="M973">_xlfn.IFS(L972="A", 4, L972="B", 3, L972="C", 2, L972="D", 1)</f>
        <v>1</v>
      </c>
    </row>
    <row r="974" spans="1:13" hidden="1" x14ac:dyDescent="0.2">
      <c r="A974">
        <v>2023</v>
      </c>
      <c r="B974">
        <v>80211</v>
      </c>
      <c r="C974" t="s">
        <v>94</v>
      </c>
      <c r="D974" t="s">
        <v>104</v>
      </c>
      <c r="E974" t="s">
        <v>15</v>
      </c>
      <c r="F974" t="s">
        <v>16</v>
      </c>
      <c r="G974">
        <v>8.8000000000000007</v>
      </c>
      <c r="H974" s="1">
        <v>37940</v>
      </c>
      <c r="I974" t="s">
        <v>43</v>
      </c>
      <c r="J974">
        <v>80211</v>
      </c>
      <c r="K974" t="s">
        <v>43</v>
      </c>
      <c r="L974" s="3" t="s">
        <v>23</v>
      </c>
      <c r="M974" cm="1">
        <f t="array" ref="M974">_xlfn.IFS(L973="A", 4, L973="B", 3, L973="C", 2, L973="D", 1)</f>
        <v>2</v>
      </c>
    </row>
    <row r="975" spans="1:13" hidden="1" x14ac:dyDescent="0.2">
      <c r="A975">
        <v>2023</v>
      </c>
      <c r="B975">
        <v>80211</v>
      </c>
      <c r="C975" t="s">
        <v>94</v>
      </c>
      <c r="D975" t="s">
        <v>104</v>
      </c>
      <c r="E975" t="s">
        <v>15</v>
      </c>
      <c r="F975" t="s">
        <v>16</v>
      </c>
      <c r="G975">
        <v>8.8000000000000007</v>
      </c>
      <c r="H975" s="1">
        <v>37940</v>
      </c>
      <c r="I975" t="s">
        <v>44</v>
      </c>
      <c r="J975">
        <v>80211</v>
      </c>
      <c r="K975" t="s">
        <v>44</v>
      </c>
      <c r="L975" s="3" t="s">
        <v>23</v>
      </c>
      <c r="M975" cm="1">
        <f t="array" ref="M975">_xlfn.IFS(L974="A", 4, L974="B", 3, L974="C", 2, L974="D", 1)</f>
        <v>1</v>
      </c>
    </row>
    <row r="976" spans="1:13" hidden="1" x14ac:dyDescent="0.2">
      <c r="A976">
        <v>2023</v>
      </c>
      <c r="B976">
        <v>80211</v>
      </c>
      <c r="C976" t="s">
        <v>94</v>
      </c>
      <c r="D976" t="s">
        <v>104</v>
      </c>
      <c r="E976" t="s">
        <v>15</v>
      </c>
      <c r="F976" t="s">
        <v>16</v>
      </c>
      <c r="G976">
        <v>8.8000000000000007</v>
      </c>
      <c r="H976" s="1">
        <v>37940</v>
      </c>
      <c r="I976" t="s">
        <v>45</v>
      </c>
      <c r="J976">
        <v>80211</v>
      </c>
      <c r="K976" t="s">
        <v>45</v>
      </c>
      <c r="L976" s="3" t="s">
        <v>21</v>
      </c>
      <c r="M976" cm="1">
        <f t="array" ref="M976">_xlfn.IFS(L975="A", 4, L975="B", 3, L975="C", 2, L975="D", 1)</f>
        <v>1</v>
      </c>
    </row>
    <row r="977" spans="1:13" hidden="1" x14ac:dyDescent="0.2">
      <c r="A977">
        <v>2023</v>
      </c>
      <c r="B977">
        <v>80211</v>
      </c>
      <c r="C977" t="s">
        <v>86</v>
      </c>
      <c r="D977" t="s">
        <v>105</v>
      </c>
      <c r="E977" t="s">
        <v>15</v>
      </c>
      <c r="F977" t="s">
        <v>16</v>
      </c>
      <c r="G977">
        <v>1.9</v>
      </c>
      <c r="H977" s="1">
        <v>37940</v>
      </c>
      <c r="I977" t="s">
        <v>43</v>
      </c>
      <c r="J977">
        <v>80211</v>
      </c>
      <c r="K977" t="s">
        <v>43</v>
      </c>
      <c r="L977" s="3" t="s">
        <v>23</v>
      </c>
      <c r="M977" cm="1">
        <f t="array" ref="M977">_xlfn.IFS(L976="A", 4, L976="B", 3, L976="C", 2, L976="D", 1)</f>
        <v>2</v>
      </c>
    </row>
    <row r="978" spans="1:13" hidden="1" x14ac:dyDescent="0.2">
      <c r="A978">
        <v>2023</v>
      </c>
      <c r="B978">
        <v>80211</v>
      </c>
      <c r="C978" t="s">
        <v>86</v>
      </c>
      <c r="D978" t="s">
        <v>105</v>
      </c>
      <c r="E978" t="s">
        <v>15</v>
      </c>
      <c r="F978" t="s">
        <v>16</v>
      </c>
      <c r="G978">
        <v>1.9</v>
      </c>
      <c r="H978" s="1">
        <v>37940</v>
      </c>
      <c r="I978" t="s">
        <v>44</v>
      </c>
      <c r="J978">
        <v>80211</v>
      </c>
      <c r="K978" t="s">
        <v>44</v>
      </c>
      <c r="L978" s="3" t="s">
        <v>23</v>
      </c>
      <c r="M978" cm="1">
        <f t="array" ref="M978">_xlfn.IFS(L977="A", 4, L977="B", 3, L977="C", 2, L977="D", 1)</f>
        <v>1</v>
      </c>
    </row>
    <row r="979" spans="1:13" hidden="1" x14ac:dyDescent="0.2">
      <c r="A979">
        <v>2023</v>
      </c>
      <c r="B979">
        <v>80211</v>
      </c>
      <c r="C979" t="s">
        <v>86</v>
      </c>
      <c r="D979" t="s">
        <v>105</v>
      </c>
      <c r="E979" t="s">
        <v>15</v>
      </c>
      <c r="F979" t="s">
        <v>16</v>
      </c>
      <c r="G979">
        <v>1.9</v>
      </c>
      <c r="H979" s="1">
        <v>37940</v>
      </c>
      <c r="I979" t="s">
        <v>45</v>
      </c>
      <c r="J979">
        <v>80211</v>
      </c>
      <c r="K979" t="s">
        <v>45</v>
      </c>
      <c r="L979" s="3" t="s">
        <v>21</v>
      </c>
      <c r="M979" cm="1">
        <f t="array" ref="M979">_xlfn.IFS(L978="A", 4, L978="B", 3, L978="C", 2, L978="D", 1)</f>
        <v>1</v>
      </c>
    </row>
    <row r="980" spans="1:13" hidden="1" x14ac:dyDescent="0.2">
      <c r="A980">
        <v>2022</v>
      </c>
      <c r="B980">
        <v>80211</v>
      </c>
      <c r="C980" t="s">
        <v>77</v>
      </c>
      <c r="D980" t="s">
        <v>106</v>
      </c>
      <c r="E980" t="s">
        <v>15</v>
      </c>
      <c r="F980" t="s">
        <v>16</v>
      </c>
      <c r="G980">
        <v>26.7</v>
      </c>
      <c r="H980" s="1">
        <v>37940</v>
      </c>
      <c r="I980" t="s">
        <v>43</v>
      </c>
      <c r="J980">
        <v>80211</v>
      </c>
      <c r="K980" t="s">
        <v>43</v>
      </c>
      <c r="L980" s="3" t="s">
        <v>23</v>
      </c>
      <c r="M980" cm="1">
        <f t="array" ref="M980">_xlfn.IFS(L979="A", 4, L979="B", 3, L979="C", 2, L979="D", 1)</f>
        <v>2</v>
      </c>
    </row>
    <row r="981" spans="1:13" hidden="1" x14ac:dyDescent="0.2">
      <c r="A981">
        <v>2022</v>
      </c>
      <c r="B981">
        <v>80211</v>
      </c>
      <c r="C981" t="s">
        <v>77</v>
      </c>
      <c r="D981" t="s">
        <v>106</v>
      </c>
      <c r="E981" t="s">
        <v>15</v>
      </c>
      <c r="F981" t="s">
        <v>16</v>
      </c>
      <c r="G981">
        <v>26.7</v>
      </c>
      <c r="H981" s="1">
        <v>37940</v>
      </c>
      <c r="I981" t="s">
        <v>44</v>
      </c>
      <c r="J981">
        <v>80211</v>
      </c>
      <c r="K981" t="s">
        <v>44</v>
      </c>
      <c r="L981" s="3" t="s">
        <v>23</v>
      </c>
      <c r="M981" cm="1">
        <f t="array" ref="M981">_xlfn.IFS(L980="A", 4, L980="B", 3, L980="C", 2, L980="D", 1)</f>
        <v>1</v>
      </c>
    </row>
    <row r="982" spans="1:13" hidden="1" x14ac:dyDescent="0.2">
      <c r="A982">
        <v>2022</v>
      </c>
      <c r="B982">
        <v>80211</v>
      </c>
      <c r="C982" t="s">
        <v>77</v>
      </c>
      <c r="D982" t="s">
        <v>106</v>
      </c>
      <c r="E982" t="s">
        <v>15</v>
      </c>
      <c r="F982" t="s">
        <v>16</v>
      </c>
      <c r="G982">
        <v>26.7</v>
      </c>
      <c r="H982" s="1">
        <v>37940</v>
      </c>
      <c r="I982" t="s">
        <v>45</v>
      </c>
      <c r="J982">
        <v>80211</v>
      </c>
      <c r="K982" t="s">
        <v>45</v>
      </c>
      <c r="L982" s="3" t="s">
        <v>21</v>
      </c>
      <c r="M982" cm="1">
        <f t="array" ref="M982">_xlfn.IFS(L981="A", 4, L981="B", 3, L981="C", 2, L981="D", 1)</f>
        <v>1</v>
      </c>
    </row>
    <row r="983" spans="1:13" hidden="1" x14ac:dyDescent="0.2">
      <c r="A983">
        <v>2023</v>
      </c>
      <c r="B983">
        <v>80211</v>
      </c>
      <c r="C983" t="s">
        <v>13</v>
      </c>
      <c r="D983" t="s">
        <v>107</v>
      </c>
      <c r="E983" t="s">
        <v>15</v>
      </c>
      <c r="F983" t="s">
        <v>16</v>
      </c>
      <c r="G983">
        <v>1.6</v>
      </c>
      <c r="H983" s="1">
        <v>37940</v>
      </c>
      <c r="I983" t="s">
        <v>43</v>
      </c>
      <c r="J983">
        <v>80211</v>
      </c>
      <c r="K983" t="s">
        <v>43</v>
      </c>
      <c r="L983" s="3" t="s">
        <v>23</v>
      </c>
      <c r="M983" cm="1">
        <f t="array" ref="M983">_xlfn.IFS(L982="A", 4, L982="B", 3, L982="C", 2, L982="D", 1)</f>
        <v>2</v>
      </c>
    </row>
    <row r="984" spans="1:13" hidden="1" x14ac:dyDescent="0.2">
      <c r="A984">
        <v>2023</v>
      </c>
      <c r="B984">
        <v>80211</v>
      </c>
      <c r="C984" t="s">
        <v>13</v>
      </c>
      <c r="D984" t="s">
        <v>107</v>
      </c>
      <c r="E984" t="s">
        <v>15</v>
      </c>
      <c r="F984" t="s">
        <v>16</v>
      </c>
      <c r="G984">
        <v>1.6</v>
      </c>
      <c r="H984" s="1">
        <v>37940</v>
      </c>
      <c r="I984" t="s">
        <v>44</v>
      </c>
      <c r="J984">
        <v>80211</v>
      </c>
      <c r="K984" t="s">
        <v>44</v>
      </c>
      <c r="L984" s="3" t="s">
        <v>23</v>
      </c>
      <c r="M984" cm="1">
        <f t="array" ref="M984">_xlfn.IFS(L983="A", 4, L983="B", 3, L983="C", 2, L983="D", 1)</f>
        <v>1</v>
      </c>
    </row>
    <row r="985" spans="1:13" hidden="1" x14ac:dyDescent="0.2">
      <c r="A985">
        <v>2023</v>
      </c>
      <c r="B985">
        <v>80211</v>
      </c>
      <c r="C985" t="s">
        <v>13</v>
      </c>
      <c r="D985" t="s">
        <v>107</v>
      </c>
      <c r="E985" t="s">
        <v>15</v>
      </c>
      <c r="F985" t="s">
        <v>16</v>
      </c>
      <c r="G985">
        <v>1.6</v>
      </c>
      <c r="H985" s="1">
        <v>37940</v>
      </c>
      <c r="I985" t="s">
        <v>45</v>
      </c>
      <c r="J985">
        <v>80211</v>
      </c>
      <c r="K985" t="s">
        <v>45</v>
      </c>
      <c r="L985" s="3" t="s">
        <v>21</v>
      </c>
      <c r="M985" cm="1">
        <f t="array" ref="M985">_xlfn.IFS(L984="A", 4, L984="B", 3, L984="C", 2, L984="D", 1)</f>
        <v>1</v>
      </c>
    </row>
    <row r="986" spans="1:13" hidden="1" x14ac:dyDescent="0.2">
      <c r="A986">
        <v>2022</v>
      </c>
      <c r="B986">
        <v>80211</v>
      </c>
      <c r="C986" t="s">
        <v>13</v>
      </c>
      <c r="D986" t="s">
        <v>108</v>
      </c>
      <c r="E986" t="s">
        <v>15</v>
      </c>
      <c r="F986" t="s">
        <v>16</v>
      </c>
      <c r="G986">
        <v>7.5</v>
      </c>
      <c r="H986" s="1">
        <v>37940</v>
      </c>
      <c r="I986" t="s">
        <v>43</v>
      </c>
      <c r="J986">
        <v>80211</v>
      </c>
      <c r="K986" t="s">
        <v>43</v>
      </c>
      <c r="L986" s="3" t="s">
        <v>23</v>
      </c>
      <c r="M986" cm="1">
        <f t="array" ref="M986">_xlfn.IFS(L985="A", 4, L985="B", 3, L985="C", 2, L985="D", 1)</f>
        <v>2</v>
      </c>
    </row>
    <row r="987" spans="1:13" hidden="1" x14ac:dyDescent="0.2">
      <c r="A987">
        <v>2022</v>
      </c>
      <c r="B987">
        <v>80211</v>
      </c>
      <c r="C987" t="s">
        <v>13</v>
      </c>
      <c r="D987" t="s">
        <v>108</v>
      </c>
      <c r="E987" t="s">
        <v>15</v>
      </c>
      <c r="F987" t="s">
        <v>16</v>
      </c>
      <c r="G987">
        <v>7.5</v>
      </c>
      <c r="H987" s="1">
        <v>37940</v>
      </c>
      <c r="I987" t="s">
        <v>44</v>
      </c>
      <c r="J987">
        <v>80211</v>
      </c>
      <c r="K987" t="s">
        <v>44</v>
      </c>
      <c r="L987" s="3" t="s">
        <v>23</v>
      </c>
      <c r="M987" cm="1">
        <f t="array" ref="M987">_xlfn.IFS(L986="A", 4, L986="B", 3, L986="C", 2, L986="D", 1)</f>
        <v>1</v>
      </c>
    </row>
    <row r="988" spans="1:13" hidden="1" x14ac:dyDescent="0.2">
      <c r="A988">
        <v>2022</v>
      </c>
      <c r="B988">
        <v>80211</v>
      </c>
      <c r="C988" t="s">
        <v>13</v>
      </c>
      <c r="D988" t="s">
        <v>108</v>
      </c>
      <c r="E988" t="s">
        <v>15</v>
      </c>
      <c r="F988" t="s">
        <v>16</v>
      </c>
      <c r="G988">
        <v>7.5</v>
      </c>
      <c r="H988" s="1">
        <v>37940</v>
      </c>
      <c r="I988" t="s">
        <v>45</v>
      </c>
      <c r="J988">
        <v>80211</v>
      </c>
      <c r="K988" t="s">
        <v>45</v>
      </c>
      <c r="L988" s="3" t="s">
        <v>21</v>
      </c>
      <c r="M988" cm="1">
        <f t="array" ref="M988">_xlfn.IFS(L987="A", 4, L987="B", 3, L987="C", 2, L987="D", 1)</f>
        <v>1</v>
      </c>
    </row>
    <row r="989" spans="1:13" hidden="1" x14ac:dyDescent="0.2">
      <c r="A989">
        <v>2023</v>
      </c>
      <c r="B989">
        <v>80211</v>
      </c>
      <c r="C989" t="s">
        <v>86</v>
      </c>
      <c r="D989" t="s">
        <v>109</v>
      </c>
      <c r="E989" t="s">
        <v>15</v>
      </c>
      <c r="F989" t="s">
        <v>16</v>
      </c>
      <c r="G989">
        <v>3</v>
      </c>
      <c r="H989" s="1">
        <v>37940</v>
      </c>
      <c r="I989" t="s">
        <v>43</v>
      </c>
      <c r="J989">
        <v>80211</v>
      </c>
      <c r="K989" t="s">
        <v>43</v>
      </c>
      <c r="L989" s="3" t="s">
        <v>23</v>
      </c>
      <c r="M989" cm="1">
        <f t="array" ref="M989">_xlfn.IFS(L988="A", 4, L988="B", 3, L988="C", 2, L988="D", 1)</f>
        <v>2</v>
      </c>
    </row>
    <row r="990" spans="1:13" hidden="1" x14ac:dyDescent="0.2">
      <c r="A990">
        <v>2023</v>
      </c>
      <c r="B990">
        <v>80211</v>
      </c>
      <c r="C990" t="s">
        <v>86</v>
      </c>
      <c r="D990" t="s">
        <v>109</v>
      </c>
      <c r="E990" t="s">
        <v>15</v>
      </c>
      <c r="F990" t="s">
        <v>16</v>
      </c>
      <c r="G990">
        <v>3</v>
      </c>
      <c r="H990" s="1">
        <v>37940</v>
      </c>
      <c r="I990" t="s">
        <v>44</v>
      </c>
      <c r="J990">
        <v>80211</v>
      </c>
      <c r="K990" t="s">
        <v>44</v>
      </c>
      <c r="L990" s="3" t="s">
        <v>23</v>
      </c>
      <c r="M990" cm="1">
        <f t="array" ref="M990">_xlfn.IFS(L989="A", 4, L989="B", 3, L989="C", 2, L989="D", 1)</f>
        <v>1</v>
      </c>
    </row>
    <row r="991" spans="1:13" hidden="1" x14ac:dyDescent="0.2">
      <c r="A991">
        <v>2023</v>
      </c>
      <c r="B991">
        <v>80211</v>
      </c>
      <c r="C991" t="s">
        <v>86</v>
      </c>
      <c r="D991" t="s">
        <v>109</v>
      </c>
      <c r="E991" t="s">
        <v>15</v>
      </c>
      <c r="F991" t="s">
        <v>16</v>
      </c>
      <c r="G991">
        <v>3</v>
      </c>
      <c r="H991" s="1">
        <v>37940</v>
      </c>
      <c r="I991" t="s">
        <v>45</v>
      </c>
      <c r="J991">
        <v>80211</v>
      </c>
      <c r="K991" t="s">
        <v>45</v>
      </c>
      <c r="L991" s="3" t="s">
        <v>21</v>
      </c>
      <c r="M991" cm="1">
        <f t="array" ref="M991">_xlfn.IFS(L990="A", 4, L990="B", 3, L990="C", 2, L990="D", 1)</f>
        <v>1</v>
      </c>
    </row>
    <row r="992" spans="1:13" hidden="1" x14ac:dyDescent="0.2">
      <c r="A992">
        <v>2023</v>
      </c>
      <c r="B992">
        <v>80212</v>
      </c>
      <c r="C992" t="s">
        <v>74</v>
      </c>
      <c r="D992" t="s">
        <v>75</v>
      </c>
      <c r="E992" t="s">
        <v>15</v>
      </c>
      <c r="F992" t="s">
        <v>16</v>
      </c>
      <c r="G992">
        <v>9.4</v>
      </c>
      <c r="H992" s="1">
        <v>20397</v>
      </c>
      <c r="I992" t="s">
        <v>110</v>
      </c>
      <c r="J992">
        <v>80212</v>
      </c>
      <c r="K992" t="s">
        <v>110</v>
      </c>
      <c r="L992" s="3" t="s">
        <v>21</v>
      </c>
      <c r="M992" cm="1">
        <f t="array" ref="M992">_xlfn.IFS(L991="A", 4, L991="B", 3, L991="C", 2, L991="D", 1)</f>
        <v>2</v>
      </c>
    </row>
    <row r="993" spans="1:13" hidden="1" x14ac:dyDescent="0.2">
      <c r="A993">
        <v>2023</v>
      </c>
      <c r="B993">
        <v>80212</v>
      </c>
      <c r="C993" t="s">
        <v>74</v>
      </c>
      <c r="D993" t="s">
        <v>75</v>
      </c>
      <c r="E993" t="s">
        <v>15</v>
      </c>
      <c r="F993" t="s">
        <v>16</v>
      </c>
      <c r="G993">
        <v>9.4</v>
      </c>
      <c r="H993" s="1">
        <v>20397</v>
      </c>
      <c r="I993" t="s">
        <v>19</v>
      </c>
      <c r="J993">
        <v>80212</v>
      </c>
      <c r="K993" t="s">
        <v>19</v>
      </c>
      <c r="L993" s="3" t="s">
        <v>20</v>
      </c>
      <c r="M993" cm="1">
        <f t="array" ref="M993">_xlfn.IFS(L992="A", 4, L992="B", 3, L992="C", 2, L992="D", 1)</f>
        <v>2</v>
      </c>
    </row>
    <row r="994" spans="1:13" hidden="1" x14ac:dyDescent="0.2">
      <c r="A994">
        <v>2023</v>
      </c>
      <c r="B994">
        <v>80212</v>
      </c>
      <c r="C994" t="s">
        <v>74</v>
      </c>
      <c r="D994" t="s">
        <v>75</v>
      </c>
      <c r="E994" t="s">
        <v>15</v>
      </c>
      <c r="F994" t="s">
        <v>16</v>
      </c>
      <c r="G994">
        <v>9.4</v>
      </c>
      <c r="H994" s="1">
        <v>20397</v>
      </c>
      <c r="I994" t="s">
        <v>19</v>
      </c>
      <c r="J994">
        <v>80212</v>
      </c>
      <c r="K994" t="s">
        <v>19</v>
      </c>
      <c r="L994" s="3" t="s">
        <v>21</v>
      </c>
      <c r="M994" cm="1">
        <f t="array" ref="M994">_xlfn.IFS(L993="A", 4, L993="B", 3, L993="C", 2, L993="D", 1)</f>
        <v>3</v>
      </c>
    </row>
    <row r="995" spans="1:13" hidden="1" x14ac:dyDescent="0.2">
      <c r="A995">
        <v>2023</v>
      </c>
      <c r="B995">
        <v>80212</v>
      </c>
      <c r="C995" t="s">
        <v>13</v>
      </c>
      <c r="D995" t="s">
        <v>76</v>
      </c>
      <c r="E995" t="s">
        <v>15</v>
      </c>
      <c r="F995" t="s">
        <v>16</v>
      </c>
      <c r="G995">
        <v>18.8</v>
      </c>
      <c r="H995" s="1">
        <v>20397</v>
      </c>
      <c r="I995" t="s">
        <v>110</v>
      </c>
      <c r="J995">
        <v>80212</v>
      </c>
      <c r="K995" t="s">
        <v>110</v>
      </c>
      <c r="L995" s="3" t="s">
        <v>21</v>
      </c>
      <c r="M995" cm="1">
        <f t="array" ref="M995">_xlfn.IFS(L994="A", 4, L994="B", 3, L994="C", 2, L994="D", 1)</f>
        <v>2</v>
      </c>
    </row>
    <row r="996" spans="1:13" hidden="1" x14ac:dyDescent="0.2">
      <c r="A996">
        <v>2023</v>
      </c>
      <c r="B996">
        <v>80212</v>
      </c>
      <c r="C996" t="s">
        <v>13</v>
      </c>
      <c r="D996" t="s">
        <v>76</v>
      </c>
      <c r="E996" t="s">
        <v>15</v>
      </c>
      <c r="F996" t="s">
        <v>16</v>
      </c>
      <c r="G996">
        <v>18.8</v>
      </c>
      <c r="H996" s="1">
        <v>20397</v>
      </c>
      <c r="I996" t="s">
        <v>19</v>
      </c>
      <c r="J996">
        <v>80212</v>
      </c>
      <c r="K996" t="s">
        <v>19</v>
      </c>
      <c r="L996" s="3" t="s">
        <v>20</v>
      </c>
      <c r="M996" cm="1">
        <f t="array" ref="M996">_xlfn.IFS(L995="A", 4, L995="B", 3, L995="C", 2, L995="D", 1)</f>
        <v>2</v>
      </c>
    </row>
    <row r="997" spans="1:13" hidden="1" x14ac:dyDescent="0.2">
      <c r="A997">
        <v>2023</v>
      </c>
      <c r="B997">
        <v>80212</v>
      </c>
      <c r="C997" t="s">
        <v>13</v>
      </c>
      <c r="D997" t="s">
        <v>76</v>
      </c>
      <c r="E997" t="s">
        <v>15</v>
      </c>
      <c r="F997" t="s">
        <v>16</v>
      </c>
      <c r="G997">
        <v>18.8</v>
      </c>
      <c r="H997" s="1">
        <v>20397</v>
      </c>
      <c r="I997" t="s">
        <v>19</v>
      </c>
      <c r="J997">
        <v>80212</v>
      </c>
      <c r="K997" t="s">
        <v>19</v>
      </c>
      <c r="L997" s="3" t="s">
        <v>21</v>
      </c>
      <c r="M997" cm="1">
        <f t="array" ref="M997">_xlfn.IFS(L996="A", 4, L996="B", 3, L996="C", 2, L996="D", 1)</f>
        <v>3</v>
      </c>
    </row>
    <row r="998" spans="1:13" hidden="1" x14ac:dyDescent="0.2">
      <c r="A998">
        <v>2023</v>
      </c>
      <c r="B998">
        <v>80212</v>
      </c>
      <c r="C998" t="s">
        <v>77</v>
      </c>
      <c r="D998" t="s">
        <v>78</v>
      </c>
      <c r="E998" t="s">
        <v>15</v>
      </c>
      <c r="F998" t="s">
        <v>16</v>
      </c>
      <c r="G998">
        <v>25.8</v>
      </c>
      <c r="H998" s="1">
        <v>20397</v>
      </c>
      <c r="I998" t="s">
        <v>110</v>
      </c>
      <c r="J998">
        <v>80212</v>
      </c>
      <c r="K998" t="s">
        <v>110</v>
      </c>
      <c r="L998" s="3" t="s">
        <v>21</v>
      </c>
      <c r="M998" cm="1">
        <f t="array" ref="M998">_xlfn.IFS(L997="A", 4, L997="B", 3, L997="C", 2, L997="D", 1)</f>
        <v>2</v>
      </c>
    </row>
    <row r="999" spans="1:13" hidden="1" x14ac:dyDescent="0.2">
      <c r="A999">
        <v>2023</v>
      </c>
      <c r="B999">
        <v>80212</v>
      </c>
      <c r="C999" t="s">
        <v>77</v>
      </c>
      <c r="D999" t="s">
        <v>78</v>
      </c>
      <c r="E999" t="s">
        <v>15</v>
      </c>
      <c r="F999" t="s">
        <v>16</v>
      </c>
      <c r="G999">
        <v>25.8</v>
      </c>
      <c r="H999" s="1">
        <v>20397</v>
      </c>
      <c r="I999" t="s">
        <v>19</v>
      </c>
      <c r="J999">
        <v>80212</v>
      </c>
      <c r="K999" t="s">
        <v>19</v>
      </c>
      <c r="L999" s="3" t="s">
        <v>20</v>
      </c>
      <c r="M999" cm="1">
        <f t="array" ref="M999">_xlfn.IFS(L998="A", 4, L998="B", 3, L998="C", 2, L998="D", 1)</f>
        <v>2</v>
      </c>
    </row>
    <row r="1000" spans="1:13" hidden="1" x14ac:dyDescent="0.2">
      <c r="A1000">
        <v>2023</v>
      </c>
      <c r="B1000">
        <v>80212</v>
      </c>
      <c r="C1000" t="s">
        <v>77</v>
      </c>
      <c r="D1000" t="s">
        <v>78</v>
      </c>
      <c r="E1000" t="s">
        <v>15</v>
      </c>
      <c r="F1000" t="s">
        <v>16</v>
      </c>
      <c r="G1000">
        <v>25.8</v>
      </c>
      <c r="H1000" s="1">
        <v>20397</v>
      </c>
      <c r="I1000" t="s">
        <v>19</v>
      </c>
      <c r="J1000">
        <v>80212</v>
      </c>
      <c r="K1000" t="s">
        <v>19</v>
      </c>
      <c r="L1000" s="3" t="s">
        <v>21</v>
      </c>
      <c r="M1000" cm="1">
        <f t="array" ref="M1000">_xlfn.IFS(L999="A", 4, L999="B", 3, L999="C", 2, L999="D", 1)</f>
        <v>3</v>
      </c>
    </row>
    <row r="1001" spans="1:13" hidden="1" x14ac:dyDescent="0.2">
      <c r="A1001">
        <v>2023</v>
      </c>
      <c r="B1001">
        <v>80212</v>
      </c>
      <c r="C1001" t="s">
        <v>13</v>
      </c>
      <c r="D1001" t="s">
        <v>79</v>
      </c>
      <c r="E1001" t="s">
        <v>15</v>
      </c>
      <c r="F1001" t="s">
        <v>16</v>
      </c>
      <c r="G1001">
        <v>21.1</v>
      </c>
      <c r="H1001" s="1">
        <v>20397</v>
      </c>
      <c r="I1001" t="s">
        <v>110</v>
      </c>
      <c r="J1001">
        <v>80212</v>
      </c>
      <c r="K1001" t="s">
        <v>110</v>
      </c>
      <c r="L1001" s="3" t="s">
        <v>21</v>
      </c>
      <c r="M1001" cm="1">
        <f t="array" ref="M1001">_xlfn.IFS(L1000="A", 4, L1000="B", 3, L1000="C", 2, L1000="D", 1)</f>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D842-B52C-3F4C-8B69-7514A8DCE2C1}">
  <dimension ref="A3:AI9"/>
  <sheetViews>
    <sheetView topLeftCell="A28" workbookViewId="0">
      <selection activeCell="A5" sqref="A5"/>
    </sheetView>
  </sheetViews>
  <sheetFormatPr baseColWidth="10" defaultRowHeight="16" x14ac:dyDescent="0.2"/>
  <cols>
    <col min="1" max="1" width="20.5" bestFit="1" customWidth="1"/>
    <col min="2" max="2" width="38.1640625" bestFit="1" customWidth="1"/>
    <col min="3" max="3" width="24.33203125" bestFit="1" customWidth="1"/>
    <col min="4" max="4" width="19.6640625" bestFit="1" customWidth="1"/>
    <col min="5" max="5" width="25" bestFit="1" customWidth="1"/>
    <col min="6" max="6" width="39.5" bestFit="1" customWidth="1"/>
    <col min="7" max="7" width="30.83203125" bestFit="1" customWidth="1"/>
    <col min="8" max="8" width="45.5" bestFit="1" customWidth="1"/>
    <col min="9" max="9" width="29" bestFit="1" customWidth="1"/>
    <col min="10" max="10" width="53" bestFit="1" customWidth="1"/>
    <col min="11" max="11" width="32.33203125" bestFit="1" customWidth="1"/>
    <col min="12" max="12" width="25.83203125" bestFit="1" customWidth="1"/>
    <col min="13" max="13" width="34.83203125" bestFit="1" customWidth="1"/>
    <col min="14" max="14" width="54.83203125" bestFit="1" customWidth="1"/>
    <col min="15" max="15" width="22.33203125" bestFit="1" customWidth="1"/>
    <col min="16" max="16" width="29.5" bestFit="1" customWidth="1"/>
    <col min="17" max="17" width="43" bestFit="1" customWidth="1"/>
    <col min="18" max="18" width="34" bestFit="1" customWidth="1"/>
    <col min="19" max="19" width="34.83203125" bestFit="1" customWidth="1"/>
    <col min="20" max="20" width="27.83203125" bestFit="1" customWidth="1"/>
    <col min="21" max="21" width="29.6640625" bestFit="1" customWidth="1"/>
    <col min="22" max="22" width="52.5" bestFit="1" customWidth="1"/>
    <col min="23" max="23" width="36.6640625" bestFit="1" customWidth="1"/>
    <col min="24" max="24" width="45.6640625" bestFit="1" customWidth="1"/>
    <col min="25" max="25" width="28.1640625" bestFit="1" customWidth="1"/>
    <col min="26" max="26" width="40.33203125" bestFit="1" customWidth="1"/>
    <col min="27" max="27" width="19.33203125" bestFit="1" customWidth="1"/>
    <col min="28" max="28" width="28.6640625" bestFit="1" customWidth="1"/>
    <col min="29" max="29" width="29.83203125" bestFit="1" customWidth="1"/>
    <col min="30" max="30" width="18.33203125" bestFit="1" customWidth="1"/>
    <col min="31" max="31" width="73.83203125" bestFit="1" customWidth="1"/>
    <col min="32" max="32" width="26.1640625" bestFit="1" customWidth="1"/>
    <col min="33" max="33" width="51.6640625" bestFit="1" customWidth="1"/>
    <col min="34" max="34" width="60" bestFit="1" customWidth="1"/>
    <col min="35" max="35" width="12.1640625" bestFit="1" customWidth="1"/>
  </cols>
  <sheetData>
    <row r="3" spans="1:35" x14ac:dyDescent="0.2">
      <c r="A3" s="11" t="s">
        <v>118</v>
      </c>
      <c r="B3" s="11" t="s">
        <v>117</v>
      </c>
    </row>
    <row r="4" spans="1:35" x14ac:dyDescent="0.2">
      <c r="A4" s="11" t="s">
        <v>119</v>
      </c>
      <c r="B4" t="s">
        <v>108</v>
      </c>
      <c r="C4" t="s">
        <v>93</v>
      </c>
      <c r="D4" t="s">
        <v>76</v>
      </c>
      <c r="E4" t="s">
        <v>78</v>
      </c>
      <c r="F4" t="s">
        <v>81</v>
      </c>
      <c r="G4" t="s">
        <v>85</v>
      </c>
      <c r="H4" t="s">
        <v>89</v>
      </c>
      <c r="I4" t="s">
        <v>87</v>
      </c>
      <c r="J4" t="s">
        <v>88</v>
      </c>
      <c r="K4" t="s">
        <v>83</v>
      </c>
      <c r="L4" t="s">
        <v>82</v>
      </c>
      <c r="M4" t="s">
        <v>90</v>
      </c>
      <c r="N4" t="s">
        <v>75</v>
      </c>
      <c r="O4" t="s">
        <v>92</v>
      </c>
      <c r="P4" t="s">
        <v>14</v>
      </c>
      <c r="Q4" t="s">
        <v>95</v>
      </c>
      <c r="R4" t="s">
        <v>101</v>
      </c>
      <c r="S4" t="s">
        <v>104</v>
      </c>
      <c r="T4" t="s">
        <v>96</v>
      </c>
      <c r="U4" t="s">
        <v>79</v>
      </c>
      <c r="V4" t="s">
        <v>97</v>
      </c>
      <c r="W4" t="s">
        <v>98</v>
      </c>
      <c r="X4" t="s">
        <v>100</v>
      </c>
      <c r="Y4" t="s">
        <v>102</v>
      </c>
      <c r="Z4" t="s">
        <v>99</v>
      </c>
      <c r="AA4" t="s">
        <v>103</v>
      </c>
      <c r="AB4" t="s">
        <v>105</v>
      </c>
      <c r="AC4" t="s">
        <v>106</v>
      </c>
      <c r="AD4" t="s">
        <v>107</v>
      </c>
      <c r="AE4" t="s">
        <v>80</v>
      </c>
      <c r="AF4" t="s">
        <v>109</v>
      </c>
      <c r="AG4" t="s">
        <v>91</v>
      </c>
      <c r="AH4" t="s">
        <v>84</v>
      </c>
      <c r="AI4" t="s">
        <v>116</v>
      </c>
    </row>
    <row r="5" spans="1:35" x14ac:dyDescent="0.2">
      <c r="A5" s="12" t="s">
        <v>18</v>
      </c>
      <c r="B5" s="13">
        <v>5.416666666666667</v>
      </c>
      <c r="C5" s="13">
        <v>20.516666666666666</v>
      </c>
      <c r="D5" s="13">
        <v>17.783333333333335</v>
      </c>
      <c r="E5" s="13">
        <v>27.083333333333332</v>
      </c>
      <c r="F5" s="13">
        <v>7.1333333333333329</v>
      </c>
      <c r="G5" s="13">
        <v>85.600000000000009</v>
      </c>
      <c r="H5" s="13">
        <v>3.3333333333333339</v>
      </c>
      <c r="I5" s="13">
        <v>11.066666666666665</v>
      </c>
      <c r="J5" s="13">
        <v>68.416666666666671</v>
      </c>
      <c r="K5" s="13">
        <v>3.5999999999999996</v>
      </c>
      <c r="L5" s="13">
        <v>10.199999999999999</v>
      </c>
      <c r="M5" s="13">
        <v>7.4000000000000012</v>
      </c>
      <c r="N5" s="13">
        <v>7.3000000000000007</v>
      </c>
      <c r="O5" s="13">
        <v>23.666666666666668</v>
      </c>
      <c r="P5" s="13">
        <v>5.3166666666666664</v>
      </c>
      <c r="Q5" s="13">
        <v>9.9333333333333336</v>
      </c>
      <c r="R5" s="13">
        <v>14.166666666666666</v>
      </c>
      <c r="S5" s="13">
        <v>8.7833333333333332</v>
      </c>
      <c r="T5" s="13">
        <v>4.7</v>
      </c>
      <c r="U5" s="13">
        <v>19.516666666666669</v>
      </c>
      <c r="V5" s="13">
        <v>27.483333333333334</v>
      </c>
      <c r="W5" s="13">
        <v>4.8833333333333337</v>
      </c>
      <c r="X5" s="13">
        <v>75.25</v>
      </c>
      <c r="Y5" s="13">
        <v>6.4833333333333334</v>
      </c>
      <c r="Z5" s="13">
        <v>11.983333333333334</v>
      </c>
      <c r="AA5" s="13">
        <v>18.95</v>
      </c>
      <c r="AB5" s="13">
        <v>1.8166666666666667</v>
      </c>
      <c r="AC5" s="13">
        <v>25.683333333333337</v>
      </c>
      <c r="AD5" s="13">
        <v>1.8500000000000003</v>
      </c>
      <c r="AE5" s="13">
        <v>65.050000000000011</v>
      </c>
      <c r="AF5" s="13">
        <v>2.6999999999999997</v>
      </c>
      <c r="AG5" s="13">
        <v>72.766666666666666</v>
      </c>
      <c r="AH5" s="13">
        <v>70.116666666666674</v>
      </c>
      <c r="AI5" s="13">
        <v>22.604545454545448</v>
      </c>
    </row>
    <row r="6" spans="1:35" x14ac:dyDescent="0.2">
      <c r="A6" s="12" t="s">
        <v>20</v>
      </c>
      <c r="B6" s="13">
        <v>11.733333333333334</v>
      </c>
      <c r="C6" s="13">
        <v>26.133333333333336</v>
      </c>
      <c r="D6" s="13">
        <v>19.225000000000001</v>
      </c>
      <c r="E6" s="13">
        <v>24.824999999999999</v>
      </c>
      <c r="F6" s="13">
        <v>5.8</v>
      </c>
      <c r="G6" s="13">
        <v>84.366666666666674</v>
      </c>
      <c r="H6" s="13">
        <v>4.4000000000000004</v>
      </c>
      <c r="I6" s="13">
        <v>13.866666666666667</v>
      </c>
      <c r="J6" s="13">
        <v>62.933333333333337</v>
      </c>
      <c r="K6" s="13">
        <v>4.333333333333333</v>
      </c>
      <c r="L6" s="13">
        <v>10.799999999999999</v>
      </c>
      <c r="M6" s="13">
        <v>10.799999999999999</v>
      </c>
      <c r="N6" s="13">
        <v>11.875</v>
      </c>
      <c r="O6" s="13">
        <v>22.2</v>
      </c>
      <c r="P6" s="13">
        <v>8.2666666666666657</v>
      </c>
      <c r="Q6" s="13">
        <v>15.633333333333333</v>
      </c>
      <c r="R6" s="13">
        <v>15.366666666666667</v>
      </c>
      <c r="S6" s="13">
        <v>11.333333333333334</v>
      </c>
      <c r="T6" s="13">
        <v>5.0000000000000009</v>
      </c>
      <c r="U6" s="13">
        <v>24.066666666666663</v>
      </c>
      <c r="V6" s="13">
        <v>28.566666666666666</v>
      </c>
      <c r="W6" s="13">
        <v>7</v>
      </c>
      <c r="X6" s="13">
        <v>73.566666666666663</v>
      </c>
      <c r="Y6" s="13">
        <v>10.166666666666666</v>
      </c>
      <c r="Z6" s="13">
        <v>18.166666666666668</v>
      </c>
      <c r="AA6" s="13">
        <v>23.066666666666663</v>
      </c>
      <c r="AB6" s="13">
        <v>3.1999999999999997</v>
      </c>
      <c r="AC6" s="13">
        <v>30.133333333333336</v>
      </c>
      <c r="AD6" s="13">
        <v>2.6999999999999997</v>
      </c>
      <c r="AE6" s="13">
        <v>67.266666666666666</v>
      </c>
      <c r="AF6" s="13">
        <v>4.8</v>
      </c>
      <c r="AG6" s="13">
        <v>63.300000000000004</v>
      </c>
      <c r="AH6" s="13">
        <v>70.899999999999991</v>
      </c>
      <c r="AI6" s="13">
        <v>23.953921568627447</v>
      </c>
    </row>
    <row r="7" spans="1:35" x14ac:dyDescent="0.2">
      <c r="A7" s="12" t="s">
        <v>21</v>
      </c>
      <c r="B7" s="13">
        <v>8.2100000000000009</v>
      </c>
      <c r="C7" s="13">
        <v>22.79</v>
      </c>
      <c r="D7" s="13">
        <v>16.941666666666666</v>
      </c>
      <c r="E7" s="13">
        <v>27.275000000000006</v>
      </c>
      <c r="F7" s="13">
        <v>5.84</v>
      </c>
      <c r="G7" s="13">
        <v>83.18</v>
      </c>
      <c r="H7" s="13">
        <v>3.5900000000000007</v>
      </c>
      <c r="I7" s="13">
        <v>12.98</v>
      </c>
      <c r="J7" s="13">
        <v>64.03</v>
      </c>
      <c r="K7" s="13">
        <v>3.5499999999999994</v>
      </c>
      <c r="L7" s="13">
        <v>10.379999999999999</v>
      </c>
      <c r="M7" s="13">
        <v>8.9999999999999982</v>
      </c>
      <c r="N7" s="13">
        <v>9.8500000000000014</v>
      </c>
      <c r="O7" s="13">
        <v>24.030000000000008</v>
      </c>
      <c r="P7" s="13">
        <v>5.83</v>
      </c>
      <c r="Q7" s="13">
        <v>12.17</v>
      </c>
      <c r="R7" s="13">
        <v>15.41</v>
      </c>
      <c r="S7" s="13">
        <v>9.69</v>
      </c>
      <c r="T7" s="13">
        <v>4.6500000000000004</v>
      </c>
      <c r="U7" s="13">
        <v>19.345454545454547</v>
      </c>
      <c r="V7" s="13">
        <v>26.410000000000004</v>
      </c>
      <c r="W7" s="13">
        <v>5.8500000000000014</v>
      </c>
      <c r="X7" s="13">
        <v>73.22999999999999</v>
      </c>
      <c r="Y7" s="13">
        <v>7.2899999999999974</v>
      </c>
      <c r="Z7" s="13">
        <v>14.34</v>
      </c>
      <c r="AA7" s="13">
        <v>20.11</v>
      </c>
      <c r="AB7" s="13">
        <v>2.27</v>
      </c>
      <c r="AC7" s="13">
        <v>27.240000000000002</v>
      </c>
      <c r="AD7" s="13">
        <v>1.9500000000000004</v>
      </c>
      <c r="AE7" s="13">
        <v>62.70000000000001</v>
      </c>
      <c r="AF7" s="13">
        <v>3.55</v>
      </c>
      <c r="AG7" s="13">
        <v>68.070000000000007</v>
      </c>
      <c r="AH7" s="13">
        <v>68.679999999999993</v>
      </c>
      <c r="AI7" s="13">
        <v>22.64629080118695</v>
      </c>
    </row>
    <row r="8" spans="1:35" x14ac:dyDescent="0.2">
      <c r="A8" s="12" t="s">
        <v>23</v>
      </c>
      <c r="B8" s="13">
        <v>10.072727272727272</v>
      </c>
      <c r="C8" s="13">
        <v>24.072727272727274</v>
      </c>
      <c r="D8" s="13">
        <v>16.036363636363635</v>
      </c>
      <c r="E8" s="13">
        <v>27.518181818181823</v>
      </c>
      <c r="F8" s="13">
        <v>5.0363636363636362</v>
      </c>
      <c r="G8" s="13">
        <v>82.409090909090907</v>
      </c>
      <c r="H8" s="13">
        <v>3.7363636363636359</v>
      </c>
      <c r="I8" s="13">
        <v>13.872727272727273</v>
      </c>
      <c r="J8" s="13">
        <v>60.909090909090899</v>
      </c>
      <c r="K8" s="13">
        <v>3.545454545454545</v>
      </c>
      <c r="L8" s="13">
        <v>10.409090909090908</v>
      </c>
      <c r="M8" s="13">
        <v>10.145454545454545</v>
      </c>
      <c r="N8" s="13">
        <v>12.018181818181818</v>
      </c>
      <c r="O8" s="13">
        <v>23.836363636363636</v>
      </c>
      <c r="P8" s="13">
        <v>6.4272727272727277</v>
      </c>
      <c r="Q8" s="13">
        <v>13.845454545454546</v>
      </c>
      <c r="R8" s="13">
        <v>15.881818181818181</v>
      </c>
      <c r="S8" s="13">
        <v>10.299999999999999</v>
      </c>
      <c r="T8" s="13">
        <v>4.6454545454545446</v>
      </c>
      <c r="U8" s="13">
        <v>19.645454545454545</v>
      </c>
      <c r="V8" s="13">
        <v>25.972727272727273</v>
      </c>
      <c r="W8" s="13">
        <v>6.3909090909090898</v>
      </c>
      <c r="X8" s="13">
        <v>72.472727272727283</v>
      </c>
      <c r="Y8" s="13">
        <v>7.963636363636363</v>
      </c>
      <c r="Z8" s="13">
        <v>16.154545454545453</v>
      </c>
      <c r="AA8" s="13">
        <v>21.727272727272723</v>
      </c>
      <c r="AB8" s="13">
        <v>2.627272727272727</v>
      </c>
      <c r="AC8" s="13">
        <v>28.681818181818183</v>
      </c>
      <c r="AD8" s="13">
        <v>2.0363636363636362</v>
      </c>
      <c r="AE8" s="13">
        <v>61.463636363636368</v>
      </c>
      <c r="AF8" s="13">
        <v>4.1181818181818182</v>
      </c>
      <c r="AG8" s="13">
        <v>64.345454545454544</v>
      </c>
      <c r="AH8" s="13">
        <v>67.863636363636388</v>
      </c>
      <c r="AI8" s="13">
        <v>22.914600550964192</v>
      </c>
    </row>
    <row r="9" spans="1:35" x14ac:dyDescent="0.2">
      <c r="A9" s="12" t="s">
        <v>116</v>
      </c>
      <c r="B9" s="13">
        <v>8.6866666666666674</v>
      </c>
      <c r="C9" s="13">
        <v>23.139999999999997</v>
      </c>
      <c r="D9" s="13">
        <v>17.069696969696967</v>
      </c>
      <c r="E9" s="13">
        <v>27.024242424242416</v>
      </c>
      <c r="F9" s="13">
        <v>5.8000000000000016</v>
      </c>
      <c r="G9" s="13">
        <v>83.500000000000014</v>
      </c>
      <c r="H9" s="13">
        <v>3.6733333333333333</v>
      </c>
      <c r="I9" s="13">
        <v>13.013333333333334</v>
      </c>
      <c r="J9" s="13">
        <v>63.653333333333329</v>
      </c>
      <c r="K9" s="13">
        <v>3.6366666666666676</v>
      </c>
      <c r="L9" s="13">
        <v>10.39666666666667</v>
      </c>
      <c r="M9" s="13">
        <v>9.2799999999999976</v>
      </c>
      <c r="N9" s="13">
        <v>10.354545454545455</v>
      </c>
      <c r="O9" s="13">
        <v>23.703333333333337</v>
      </c>
      <c r="P9" s="13">
        <v>6.1899999999999977</v>
      </c>
      <c r="Q9" s="13">
        <v>12.683333333333334</v>
      </c>
      <c r="R9" s="13">
        <v>15.330000000000002</v>
      </c>
      <c r="S9" s="13">
        <v>9.8966666666666683</v>
      </c>
      <c r="T9" s="13">
        <v>4.6933333333333334</v>
      </c>
      <c r="U9" s="13">
        <v>19.941935483870971</v>
      </c>
      <c r="V9" s="13">
        <v>26.680000000000003</v>
      </c>
      <c r="W9" s="13">
        <v>5.9700000000000006</v>
      </c>
      <c r="X9" s="13">
        <v>73.390000000000015</v>
      </c>
      <c r="Y9" s="13">
        <v>7.6633333333333304</v>
      </c>
      <c r="Z9" s="13">
        <v>14.916666666666673</v>
      </c>
      <c r="AA9" s="13">
        <v>20.766666666666662</v>
      </c>
      <c r="AB9" s="13">
        <v>2.4033333333333333</v>
      </c>
      <c r="AC9" s="13">
        <v>27.746666666666666</v>
      </c>
      <c r="AD9" s="13">
        <v>2.0366666666666666</v>
      </c>
      <c r="AE9" s="13">
        <v>63.173333333333339</v>
      </c>
      <c r="AF9" s="13">
        <v>3.713333333333332</v>
      </c>
      <c r="AG9" s="13">
        <v>67.166666666666686</v>
      </c>
      <c r="AH9" s="13">
        <v>68.890000000000015</v>
      </c>
      <c r="AI9" s="13">
        <v>22.868800000000004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75DA-9AEE-C147-BA9D-838B9A302DAD}">
  <dimension ref="A1:O52"/>
  <sheetViews>
    <sheetView topLeftCell="A17" workbookViewId="0">
      <selection activeCell="H46" sqref="H4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M1" t="s">
        <v>11</v>
      </c>
      <c r="O1" t="s">
        <v>12</v>
      </c>
    </row>
    <row r="2" spans="1:15" x14ac:dyDescent="0.2">
      <c r="A2" t="s">
        <v>13</v>
      </c>
      <c r="B2" t="s">
        <v>14</v>
      </c>
      <c r="C2" t="s">
        <v>15</v>
      </c>
      <c r="D2" t="s">
        <v>16</v>
      </c>
      <c r="E2">
        <v>5</v>
      </c>
      <c r="F2" s="1">
        <v>13265</v>
      </c>
      <c r="G2" t="s">
        <v>17</v>
      </c>
      <c r="H2">
        <v>80246</v>
      </c>
      <c r="I2" t="s">
        <v>17</v>
      </c>
      <c r="J2" t="s">
        <v>18</v>
      </c>
      <c r="K2">
        <v>4</v>
      </c>
      <c r="M2">
        <v>-1.0002423760000001</v>
      </c>
      <c r="O2">
        <v>1.6422650219999999</v>
      </c>
    </row>
    <row r="3" spans="1:15" x14ac:dyDescent="0.2">
      <c r="A3" t="s">
        <v>13</v>
      </c>
      <c r="B3" t="s">
        <v>14</v>
      </c>
      <c r="C3" t="s">
        <v>15</v>
      </c>
      <c r="D3" t="s">
        <v>16</v>
      </c>
      <c r="E3">
        <v>7.6</v>
      </c>
      <c r="F3" s="1">
        <v>35269</v>
      </c>
      <c r="G3" t="s">
        <v>19</v>
      </c>
      <c r="H3">
        <v>80204</v>
      </c>
      <c r="I3" t="s">
        <v>19</v>
      </c>
      <c r="J3" t="s">
        <v>20</v>
      </c>
      <c r="K3">
        <v>3</v>
      </c>
      <c r="M3">
        <v>1.1851611339999999</v>
      </c>
      <c r="O3">
        <v>0.76248018900000003</v>
      </c>
    </row>
    <row r="4" spans="1:15" x14ac:dyDescent="0.2">
      <c r="A4" t="s">
        <v>13</v>
      </c>
      <c r="B4" t="s">
        <v>14</v>
      </c>
      <c r="C4" t="s">
        <v>15</v>
      </c>
      <c r="D4" t="s">
        <v>16</v>
      </c>
      <c r="E4">
        <v>7.6</v>
      </c>
      <c r="F4" s="1">
        <v>35269</v>
      </c>
      <c r="G4" t="s">
        <v>19</v>
      </c>
      <c r="H4">
        <v>80204</v>
      </c>
      <c r="I4" t="s">
        <v>19</v>
      </c>
      <c r="J4" t="s">
        <v>21</v>
      </c>
      <c r="K4">
        <v>2</v>
      </c>
      <c r="M4">
        <v>1.1851611339999999</v>
      </c>
      <c r="O4">
        <v>-0.117304644</v>
      </c>
    </row>
    <row r="5" spans="1:15" x14ac:dyDescent="0.2">
      <c r="A5" t="s">
        <v>13</v>
      </c>
      <c r="B5" t="s">
        <v>14</v>
      </c>
      <c r="C5" t="s">
        <v>15</v>
      </c>
      <c r="D5" t="s">
        <v>16</v>
      </c>
      <c r="E5">
        <v>7.6</v>
      </c>
      <c r="F5" s="1">
        <v>35269</v>
      </c>
      <c r="G5" t="s">
        <v>22</v>
      </c>
      <c r="H5">
        <v>80204</v>
      </c>
      <c r="I5" t="s">
        <v>22</v>
      </c>
      <c r="J5" t="s">
        <v>23</v>
      </c>
      <c r="K5">
        <v>1</v>
      </c>
      <c r="M5">
        <v>1.1851611339999999</v>
      </c>
      <c r="O5">
        <v>-0.99708947699999995</v>
      </c>
    </row>
    <row r="6" spans="1:15" x14ac:dyDescent="0.2">
      <c r="A6" t="s">
        <v>13</v>
      </c>
      <c r="B6" t="s">
        <v>14</v>
      </c>
      <c r="C6" t="s">
        <v>15</v>
      </c>
      <c r="D6" t="s">
        <v>16</v>
      </c>
      <c r="E6">
        <v>7.6</v>
      </c>
      <c r="F6" s="1">
        <v>35269</v>
      </c>
      <c r="G6" t="s">
        <v>24</v>
      </c>
      <c r="H6">
        <v>80204</v>
      </c>
      <c r="I6" t="s">
        <v>24</v>
      </c>
      <c r="J6" t="s">
        <v>23</v>
      </c>
      <c r="K6">
        <v>1</v>
      </c>
      <c r="M6">
        <v>1.1851611339999999</v>
      </c>
      <c r="O6">
        <v>-0.99708947699999995</v>
      </c>
    </row>
    <row r="7" spans="1:15" x14ac:dyDescent="0.2">
      <c r="A7" t="s">
        <v>13</v>
      </c>
      <c r="B7" t="s">
        <v>14</v>
      </c>
      <c r="C7" t="s">
        <v>15</v>
      </c>
      <c r="D7" t="s">
        <v>16</v>
      </c>
      <c r="E7">
        <v>7.6</v>
      </c>
      <c r="F7" s="1">
        <v>35269</v>
      </c>
      <c r="G7" t="s">
        <v>25</v>
      </c>
      <c r="H7">
        <v>80204</v>
      </c>
      <c r="I7" t="s">
        <v>25</v>
      </c>
      <c r="J7" t="s">
        <v>23</v>
      </c>
      <c r="K7">
        <v>1</v>
      </c>
      <c r="M7">
        <v>1.1851611339999999</v>
      </c>
      <c r="O7">
        <v>-0.99708947699999995</v>
      </c>
    </row>
    <row r="8" spans="1:15" x14ac:dyDescent="0.2">
      <c r="A8" t="s">
        <v>13</v>
      </c>
      <c r="B8" t="s">
        <v>14</v>
      </c>
      <c r="C8" t="s">
        <v>15</v>
      </c>
      <c r="D8" t="s">
        <v>16</v>
      </c>
      <c r="E8">
        <v>7.6</v>
      </c>
      <c r="F8" s="1">
        <v>35269</v>
      </c>
      <c r="G8" t="s">
        <v>26</v>
      </c>
      <c r="H8">
        <v>80204</v>
      </c>
      <c r="I8" t="s">
        <v>26</v>
      </c>
      <c r="J8" t="s">
        <v>21</v>
      </c>
      <c r="K8">
        <v>2</v>
      </c>
      <c r="M8">
        <v>1.1851611339999999</v>
      </c>
      <c r="O8">
        <v>-0.117304644</v>
      </c>
    </row>
    <row r="9" spans="1:15" x14ac:dyDescent="0.2">
      <c r="A9" t="s">
        <v>13</v>
      </c>
      <c r="B9" t="s">
        <v>14</v>
      </c>
      <c r="C9" t="s">
        <v>15</v>
      </c>
      <c r="D9" t="s">
        <v>16</v>
      </c>
      <c r="E9">
        <v>6.7</v>
      </c>
      <c r="F9" s="1">
        <v>34967</v>
      </c>
      <c r="G9" t="s">
        <v>27</v>
      </c>
      <c r="H9">
        <v>80205</v>
      </c>
      <c r="I9" t="s">
        <v>27</v>
      </c>
      <c r="J9" t="s">
        <v>21</v>
      </c>
      <c r="K9">
        <v>2</v>
      </c>
      <c r="M9">
        <v>0.42867530399999998</v>
      </c>
      <c r="O9">
        <v>-0.117304644</v>
      </c>
    </row>
    <row r="10" spans="1:15" x14ac:dyDescent="0.2">
      <c r="A10" t="s">
        <v>13</v>
      </c>
      <c r="B10" t="s">
        <v>14</v>
      </c>
      <c r="C10" t="s">
        <v>15</v>
      </c>
      <c r="D10" t="s">
        <v>16</v>
      </c>
      <c r="E10">
        <v>6.7</v>
      </c>
      <c r="F10" s="1">
        <v>34967</v>
      </c>
      <c r="G10" t="s">
        <v>28</v>
      </c>
      <c r="H10">
        <v>80205</v>
      </c>
      <c r="I10" t="s">
        <v>28</v>
      </c>
      <c r="J10" t="s">
        <v>23</v>
      </c>
      <c r="K10">
        <v>1</v>
      </c>
      <c r="M10">
        <v>0.42867530399999998</v>
      </c>
      <c r="O10">
        <v>-0.99708947699999995</v>
      </c>
    </row>
    <row r="11" spans="1:15" x14ac:dyDescent="0.2">
      <c r="A11" t="s">
        <v>13</v>
      </c>
      <c r="B11" t="s">
        <v>14</v>
      </c>
      <c r="C11" t="s">
        <v>15</v>
      </c>
      <c r="D11" t="s">
        <v>16</v>
      </c>
      <c r="E11">
        <v>6.7</v>
      </c>
      <c r="F11" s="1">
        <v>34967</v>
      </c>
      <c r="G11" t="s">
        <v>29</v>
      </c>
      <c r="H11">
        <v>80205</v>
      </c>
      <c r="I11" t="s">
        <v>29</v>
      </c>
      <c r="J11" t="s">
        <v>23</v>
      </c>
      <c r="K11">
        <v>1</v>
      </c>
      <c r="M11">
        <v>0.42867530399999998</v>
      </c>
      <c r="O11">
        <v>-0.99708947699999995</v>
      </c>
    </row>
    <row r="12" spans="1:15" x14ac:dyDescent="0.2">
      <c r="A12" t="s">
        <v>13</v>
      </c>
      <c r="B12" t="s">
        <v>14</v>
      </c>
      <c r="C12" t="s">
        <v>15</v>
      </c>
      <c r="D12" t="s">
        <v>16</v>
      </c>
      <c r="E12">
        <v>6.7</v>
      </c>
      <c r="F12" s="1">
        <v>34967</v>
      </c>
      <c r="G12" t="s">
        <v>30</v>
      </c>
      <c r="H12">
        <v>80205</v>
      </c>
      <c r="I12" t="s">
        <v>30</v>
      </c>
      <c r="J12" t="s">
        <v>23</v>
      </c>
      <c r="K12">
        <v>1</v>
      </c>
      <c r="M12">
        <v>0.42867530399999998</v>
      </c>
      <c r="O12">
        <v>-0.99708947699999995</v>
      </c>
    </row>
    <row r="13" spans="1:15" x14ac:dyDescent="0.2">
      <c r="A13" t="s">
        <v>13</v>
      </c>
      <c r="B13" t="s">
        <v>14</v>
      </c>
      <c r="C13" t="s">
        <v>15</v>
      </c>
      <c r="D13" t="s">
        <v>16</v>
      </c>
      <c r="E13">
        <v>6.7</v>
      </c>
      <c r="F13" s="1">
        <v>34967</v>
      </c>
      <c r="G13" t="s">
        <v>30</v>
      </c>
      <c r="H13">
        <v>80205</v>
      </c>
      <c r="I13" t="s">
        <v>30</v>
      </c>
      <c r="J13" t="s">
        <v>23</v>
      </c>
      <c r="K13">
        <v>1</v>
      </c>
      <c r="M13">
        <v>0.42867530399999998</v>
      </c>
      <c r="O13">
        <v>-0.99708947699999995</v>
      </c>
    </row>
    <row r="14" spans="1:15" x14ac:dyDescent="0.2">
      <c r="A14" t="s">
        <v>13</v>
      </c>
      <c r="B14" t="s">
        <v>14</v>
      </c>
      <c r="C14" t="s">
        <v>15</v>
      </c>
      <c r="D14" t="s">
        <v>16</v>
      </c>
      <c r="E14">
        <v>5.7</v>
      </c>
      <c r="F14" s="1">
        <v>26108</v>
      </c>
      <c r="G14" t="s">
        <v>27</v>
      </c>
      <c r="H14">
        <v>80206</v>
      </c>
      <c r="I14" t="s">
        <v>27</v>
      </c>
      <c r="J14" t="s">
        <v>21</v>
      </c>
      <c r="K14">
        <v>2</v>
      </c>
      <c r="M14">
        <v>-0.41186450800000002</v>
      </c>
      <c r="O14">
        <v>-0.117304644</v>
      </c>
    </row>
    <row r="15" spans="1:15" x14ac:dyDescent="0.2">
      <c r="A15" t="s">
        <v>13</v>
      </c>
      <c r="B15" t="s">
        <v>14</v>
      </c>
      <c r="C15" t="s">
        <v>15</v>
      </c>
      <c r="D15" t="s">
        <v>16</v>
      </c>
      <c r="E15">
        <v>5.7</v>
      </c>
      <c r="F15" s="1">
        <v>26108</v>
      </c>
      <c r="G15" t="s">
        <v>31</v>
      </c>
      <c r="H15">
        <v>80206</v>
      </c>
      <c r="I15" t="s">
        <v>31</v>
      </c>
      <c r="J15" t="s">
        <v>18</v>
      </c>
      <c r="K15">
        <v>4</v>
      </c>
      <c r="M15">
        <v>-0.41186450800000002</v>
      </c>
      <c r="O15">
        <v>1.6422650219999999</v>
      </c>
    </row>
    <row r="16" spans="1:15" x14ac:dyDescent="0.2">
      <c r="A16" t="s">
        <v>13</v>
      </c>
      <c r="B16" t="s">
        <v>14</v>
      </c>
      <c r="C16" t="s">
        <v>15</v>
      </c>
      <c r="D16" t="s">
        <v>16</v>
      </c>
      <c r="E16">
        <v>5.7</v>
      </c>
      <c r="F16" s="1">
        <v>26108</v>
      </c>
      <c r="G16" t="s">
        <v>32</v>
      </c>
      <c r="H16">
        <v>80206</v>
      </c>
      <c r="I16" t="s">
        <v>32</v>
      </c>
      <c r="J16" t="s">
        <v>23</v>
      </c>
      <c r="K16">
        <v>1</v>
      </c>
      <c r="M16">
        <v>-0.41186450800000002</v>
      </c>
      <c r="O16">
        <v>-0.99708947699999995</v>
      </c>
    </row>
    <row r="17" spans="1:15" x14ac:dyDescent="0.2">
      <c r="A17" t="s">
        <v>13</v>
      </c>
      <c r="B17" t="s">
        <v>14</v>
      </c>
      <c r="C17" t="s">
        <v>15</v>
      </c>
      <c r="D17" t="s">
        <v>16</v>
      </c>
      <c r="E17">
        <v>5.7</v>
      </c>
      <c r="F17" s="1">
        <v>26108</v>
      </c>
      <c r="G17" t="s">
        <v>33</v>
      </c>
      <c r="H17">
        <v>80206</v>
      </c>
      <c r="I17" t="s">
        <v>33</v>
      </c>
      <c r="J17" t="s">
        <v>21</v>
      </c>
      <c r="K17">
        <v>2</v>
      </c>
      <c r="M17">
        <v>-0.41186450800000002</v>
      </c>
      <c r="O17">
        <v>-0.117304644</v>
      </c>
    </row>
    <row r="18" spans="1:15" x14ac:dyDescent="0.2">
      <c r="A18" t="s">
        <v>13</v>
      </c>
      <c r="B18" t="s">
        <v>14</v>
      </c>
      <c r="C18" t="s">
        <v>15</v>
      </c>
      <c r="D18" t="s">
        <v>16</v>
      </c>
      <c r="E18">
        <v>8.6</v>
      </c>
      <c r="F18" s="1">
        <v>21170</v>
      </c>
      <c r="G18" t="s">
        <v>34</v>
      </c>
      <c r="H18">
        <v>80207</v>
      </c>
      <c r="I18" t="s">
        <v>34</v>
      </c>
      <c r="J18" t="s">
        <v>20</v>
      </c>
      <c r="K18">
        <v>3</v>
      </c>
      <c r="M18">
        <v>2.0257009460000002</v>
      </c>
      <c r="O18">
        <v>0.76248018900000003</v>
      </c>
    </row>
    <row r="19" spans="1:15" x14ac:dyDescent="0.2">
      <c r="A19" t="s">
        <v>13</v>
      </c>
      <c r="B19" t="s">
        <v>14</v>
      </c>
      <c r="C19" t="s">
        <v>15</v>
      </c>
      <c r="D19" t="s">
        <v>16</v>
      </c>
      <c r="E19">
        <v>8.6</v>
      </c>
      <c r="F19" s="1">
        <v>21170</v>
      </c>
      <c r="G19" t="s">
        <v>35</v>
      </c>
      <c r="H19">
        <v>80207</v>
      </c>
      <c r="I19" t="s">
        <v>35</v>
      </c>
      <c r="J19" t="s">
        <v>20</v>
      </c>
      <c r="K19">
        <v>3</v>
      </c>
      <c r="M19">
        <v>2.0257009460000002</v>
      </c>
      <c r="O19">
        <v>0.76248018900000003</v>
      </c>
    </row>
    <row r="20" spans="1:15" x14ac:dyDescent="0.2">
      <c r="A20" t="s">
        <v>13</v>
      </c>
      <c r="B20" t="s">
        <v>14</v>
      </c>
      <c r="C20" t="s">
        <v>15</v>
      </c>
      <c r="D20" t="s">
        <v>16</v>
      </c>
      <c r="E20">
        <v>5.4</v>
      </c>
      <c r="F20" s="1">
        <v>27061</v>
      </c>
      <c r="G20" t="s">
        <v>32</v>
      </c>
      <c r="H20">
        <v>80209</v>
      </c>
      <c r="I20" t="s">
        <v>32</v>
      </c>
      <c r="J20" t="s">
        <v>23</v>
      </c>
      <c r="K20">
        <v>1</v>
      </c>
      <c r="M20">
        <v>-0.66402645100000002</v>
      </c>
      <c r="O20">
        <v>-0.99708947699999995</v>
      </c>
    </row>
    <row r="21" spans="1:15" x14ac:dyDescent="0.2">
      <c r="A21" t="s">
        <v>13</v>
      </c>
      <c r="B21" t="s">
        <v>14</v>
      </c>
      <c r="C21" t="s">
        <v>15</v>
      </c>
      <c r="D21" t="s">
        <v>16</v>
      </c>
      <c r="E21">
        <v>5.4</v>
      </c>
      <c r="F21" s="1">
        <v>27061</v>
      </c>
      <c r="G21" t="s">
        <v>17</v>
      </c>
      <c r="H21">
        <v>80209</v>
      </c>
      <c r="I21" t="s">
        <v>17</v>
      </c>
      <c r="J21" t="s">
        <v>18</v>
      </c>
      <c r="K21">
        <v>4</v>
      </c>
      <c r="M21">
        <v>-0.66402645100000002</v>
      </c>
      <c r="O21">
        <v>1.6422650219999999</v>
      </c>
    </row>
    <row r="22" spans="1:15" x14ac:dyDescent="0.2">
      <c r="A22" t="s">
        <v>13</v>
      </c>
      <c r="B22" t="s">
        <v>14</v>
      </c>
      <c r="C22" t="s">
        <v>15</v>
      </c>
      <c r="D22" t="s">
        <v>16</v>
      </c>
      <c r="E22">
        <v>5.4</v>
      </c>
      <c r="F22" s="1">
        <v>27061</v>
      </c>
      <c r="G22" t="s">
        <v>36</v>
      </c>
      <c r="H22">
        <v>80209</v>
      </c>
      <c r="I22" t="s">
        <v>36</v>
      </c>
      <c r="J22" t="s">
        <v>18</v>
      </c>
      <c r="K22">
        <v>4</v>
      </c>
      <c r="M22">
        <v>-0.66402645100000002</v>
      </c>
      <c r="O22">
        <v>1.6422650219999999</v>
      </c>
    </row>
    <row r="23" spans="1:15" x14ac:dyDescent="0.2">
      <c r="A23" t="s">
        <v>13</v>
      </c>
      <c r="B23" t="s">
        <v>14</v>
      </c>
      <c r="C23" t="s">
        <v>15</v>
      </c>
      <c r="D23" t="s">
        <v>16</v>
      </c>
      <c r="E23">
        <v>5.4</v>
      </c>
      <c r="F23" s="1">
        <v>27061</v>
      </c>
      <c r="G23" t="s">
        <v>37</v>
      </c>
      <c r="H23">
        <v>80209</v>
      </c>
      <c r="I23" t="s">
        <v>37</v>
      </c>
      <c r="J23" t="s">
        <v>18</v>
      </c>
      <c r="K23">
        <v>4</v>
      </c>
      <c r="M23">
        <v>-0.66402645100000002</v>
      </c>
      <c r="O23">
        <v>1.6422650219999999</v>
      </c>
    </row>
    <row r="24" spans="1:15" x14ac:dyDescent="0.2">
      <c r="A24" t="s">
        <v>13</v>
      </c>
      <c r="B24" t="s">
        <v>14</v>
      </c>
      <c r="C24" t="s">
        <v>15</v>
      </c>
      <c r="D24" t="s">
        <v>16</v>
      </c>
      <c r="E24">
        <v>5</v>
      </c>
      <c r="F24" s="1">
        <v>39394</v>
      </c>
      <c r="G24" t="s">
        <v>38</v>
      </c>
      <c r="H24">
        <v>80210</v>
      </c>
      <c r="I24" t="s">
        <v>38</v>
      </c>
      <c r="J24" t="s">
        <v>21</v>
      </c>
      <c r="K24">
        <v>2</v>
      </c>
      <c r="M24">
        <v>-1.0002423760000001</v>
      </c>
      <c r="O24">
        <v>-0.117304644</v>
      </c>
    </row>
    <row r="25" spans="1:15" x14ac:dyDescent="0.2">
      <c r="A25" t="s">
        <v>13</v>
      </c>
      <c r="B25" t="s">
        <v>14</v>
      </c>
      <c r="C25" t="s">
        <v>15</v>
      </c>
      <c r="D25" t="s">
        <v>16</v>
      </c>
      <c r="E25">
        <v>5</v>
      </c>
      <c r="F25" s="1">
        <v>39394</v>
      </c>
      <c r="G25" t="s">
        <v>39</v>
      </c>
      <c r="H25">
        <v>80210</v>
      </c>
      <c r="I25" t="s">
        <v>39</v>
      </c>
      <c r="J25" t="s">
        <v>21</v>
      </c>
      <c r="K25">
        <v>2</v>
      </c>
      <c r="M25">
        <v>-1.0002423760000001</v>
      </c>
      <c r="O25">
        <v>-0.117304644</v>
      </c>
    </row>
    <row r="26" spans="1:15" x14ac:dyDescent="0.2">
      <c r="A26" t="s">
        <v>13</v>
      </c>
      <c r="B26" t="s">
        <v>14</v>
      </c>
      <c r="C26" t="s">
        <v>15</v>
      </c>
      <c r="D26" t="s">
        <v>16</v>
      </c>
      <c r="E26">
        <v>5</v>
      </c>
      <c r="F26" s="1">
        <v>39394</v>
      </c>
      <c r="G26" t="s">
        <v>40</v>
      </c>
      <c r="H26">
        <v>80210</v>
      </c>
      <c r="I26" t="s">
        <v>40</v>
      </c>
      <c r="J26" t="s">
        <v>21</v>
      </c>
      <c r="K26">
        <v>2</v>
      </c>
      <c r="M26">
        <v>-1.0002423760000001</v>
      </c>
      <c r="O26">
        <v>-0.117304644</v>
      </c>
    </row>
    <row r="27" spans="1:15" x14ac:dyDescent="0.2">
      <c r="A27" t="s">
        <v>13</v>
      </c>
      <c r="B27" t="s">
        <v>14</v>
      </c>
      <c r="C27" t="s">
        <v>15</v>
      </c>
      <c r="D27" t="s">
        <v>16</v>
      </c>
      <c r="E27">
        <v>5</v>
      </c>
      <c r="F27" s="1">
        <v>39394</v>
      </c>
      <c r="G27" t="s">
        <v>41</v>
      </c>
      <c r="H27">
        <v>80210</v>
      </c>
      <c r="I27" t="s">
        <v>41</v>
      </c>
      <c r="J27" t="s">
        <v>21</v>
      </c>
      <c r="K27">
        <v>2</v>
      </c>
      <c r="M27">
        <v>-1.0002423760000001</v>
      </c>
      <c r="O27">
        <v>-0.117304644</v>
      </c>
    </row>
    <row r="28" spans="1:15" x14ac:dyDescent="0.2">
      <c r="A28" t="s">
        <v>13</v>
      </c>
      <c r="B28" t="s">
        <v>14</v>
      </c>
      <c r="C28" t="s">
        <v>15</v>
      </c>
      <c r="D28" t="s">
        <v>16</v>
      </c>
      <c r="E28">
        <v>5</v>
      </c>
      <c r="F28" s="1">
        <v>39394</v>
      </c>
      <c r="G28" t="s">
        <v>42</v>
      </c>
      <c r="H28">
        <v>80210</v>
      </c>
      <c r="I28" t="s">
        <v>42</v>
      </c>
      <c r="J28" t="s">
        <v>18</v>
      </c>
      <c r="K28">
        <v>4</v>
      </c>
      <c r="M28">
        <v>-1.0002423760000001</v>
      </c>
      <c r="O28">
        <v>1.6422650219999999</v>
      </c>
    </row>
    <row r="29" spans="1:15" x14ac:dyDescent="0.2">
      <c r="A29" t="s">
        <v>13</v>
      </c>
      <c r="B29" t="s">
        <v>14</v>
      </c>
      <c r="C29" t="s">
        <v>15</v>
      </c>
      <c r="D29" t="s">
        <v>16</v>
      </c>
      <c r="E29">
        <v>5</v>
      </c>
      <c r="F29" s="1">
        <v>37940</v>
      </c>
      <c r="G29" t="s">
        <v>43</v>
      </c>
      <c r="H29">
        <v>80211</v>
      </c>
      <c r="I29" t="s">
        <v>43</v>
      </c>
      <c r="J29" t="s">
        <v>23</v>
      </c>
      <c r="K29">
        <v>1</v>
      </c>
      <c r="M29">
        <v>-1.0002423760000001</v>
      </c>
      <c r="O29">
        <v>-0.99708947699999995</v>
      </c>
    </row>
    <row r="30" spans="1:15" x14ac:dyDescent="0.2">
      <c r="A30" t="s">
        <v>13</v>
      </c>
      <c r="B30" t="s">
        <v>14</v>
      </c>
      <c r="C30" t="s">
        <v>15</v>
      </c>
      <c r="D30" t="s">
        <v>16</v>
      </c>
      <c r="E30">
        <v>5</v>
      </c>
      <c r="F30" s="1">
        <v>37940</v>
      </c>
      <c r="G30" t="s">
        <v>44</v>
      </c>
      <c r="H30">
        <v>80211</v>
      </c>
      <c r="I30" t="s">
        <v>44</v>
      </c>
      <c r="J30" t="s">
        <v>23</v>
      </c>
      <c r="K30">
        <v>1</v>
      </c>
      <c r="M30">
        <v>-1.0002423760000001</v>
      </c>
      <c r="O30">
        <v>-0.99708947699999995</v>
      </c>
    </row>
    <row r="31" spans="1:15" x14ac:dyDescent="0.2">
      <c r="A31" t="s">
        <v>13</v>
      </c>
      <c r="B31" t="s">
        <v>14</v>
      </c>
      <c r="C31" t="s">
        <v>15</v>
      </c>
      <c r="D31" t="s">
        <v>16</v>
      </c>
      <c r="E31">
        <v>5</v>
      </c>
      <c r="F31" s="1">
        <v>37940</v>
      </c>
      <c r="G31" t="s">
        <v>45</v>
      </c>
      <c r="H31">
        <v>80211</v>
      </c>
      <c r="I31" t="s">
        <v>45</v>
      </c>
      <c r="J31" t="s">
        <v>21</v>
      </c>
      <c r="K31">
        <v>2</v>
      </c>
      <c r="M31">
        <v>-1.0002423760000001</v>
      </c>
      <c r="O31">
        <v>-0.117304644</v>
      </c>
    </row>
    <row r="32" spans="1:15" x14ac:dyDescent="0.2">
      <c r="D32" t="s">
        <v>46</v>
      </c>
      <c r="E32">
        <v>6.19</v>
      </c>
      <c r="J32" t="s">
        <v>46</v>
      </c>
      <c r="K32">
        <v>2.1333333329999999</v>
      </c>
    </row>
    <row r="33" spans="1:11" x14ac:dyDescent="0.2">
      <c r="D33" t="s">
        <v>47</v>
      </c>
      <c r="E33">
        <v>1.1897116430000001</v>
      </c>
      <c r="J33" t="s">
        <v>47</v>
      </c>
      <c r="K33">
        <v>1.1366415540000001</v>
      </c>
    </row>
    <row r="35" spans="1:11" x14ac:dyDescent="0.2">
      <c r="A35" t="s">
        <v>48</v>
      </c>
    </row>
    <row r="37" spans="1:11" x14ac:dyDescent="0.2">
      <c r="A37" t="s">
        <v>49</v>
      </c>
    </row>
    <row r="38" spans="1:11" x14ac:dyDescent="0.2">
      <c r="A38" t="s">
        <v>50</v>
      </c>
      <c r="B38">
        <v>0.17492862300000001</v>
      </c>
    </row>
    <row r="39" spans="1:11" x14ac:dyDescent="0.2">
      <c r="A39" t="s">
        <v>51</v>
      </c>
      <c r="B39">
        <v>3.0600023000000001E-2</v>
      </c>
    </row>
    <row r="40" spans="1:11" x14ac:dyDescent="0.2">
      <c r="A40" t="s">
        <v>52</v>
      </c>
      <c r="B40">
        <v>-4.0214049999999996E-3</v>
      </c>
    </row>
    <row r="41" spans="1:11" x14ac:dyDescent="0.2">
      <c r="A41" t="s">
        <v>53</v>
      </c>
      <c r="B41">
        <v>1.0020086850000001</v>
      </c>
    </row>
    <row r="42" spans="1:11" x14ac:dyDescent="0.2">
      <c r="A42" t="s">
        <v>54</v>
      </c>
      <c r="B42">
        <v>30</v>
      </c>
    </row>
    <row r="44" spans="1:11" x14ac:dyDescent="0.2">
      <c r="A44" t="s">
        <v>55</v>
      </c>
    </row>
    <row r="45" spans="1:11" x14ac:dyDescent="0.2">
      <c r="B45" t="s">
        <v>56</v>
      </c>
      <c r="C45" t="s">
        <v>57</v>
      </c>
      <c r="D45" t="s">
        <v>58</v>
      </c>
      <c r="E45" t="s">
        <v>59</v>
      </c>
      <c r="F45" t="s">
        <v>60</v>
      </c>
    </row>
    <row r="46" spans="1:11" x14ac:dyDescent="0.2">
      <c r="A46" t="s">
        <v>61</v>
      </c>
      <c r="B46">
        <v>1</v>
      </c>
      <c r="C46">
        <v>0.88740066799999995</v>
      </c>
      <c r="D46">
        <v>0.88740066799999995</v>
      </c>
      <c r="E46">
        <v>0.88384636400000005</v>
      </c>
      <c r="F46">
        <v>0.35519071499999999</v>
      </c>
    </row>
    <row r="47" spans="1:11" x14ac:dyDescent="0.2">
      <c r="A47" t="s">
        <v>62</v>
      </c>
      <c r="B47">
        <v>28</v>
      </c>
      <c r="C47">
        <v>28.112599329999998</v>
      </c>
      <c r="D47">
        <v>1.004021405</v>
      </c>
    </row>
    <row r="48" spans="1:11" x14ac:dyDescent="0.2">
      <c r="A48" t="s">
        <v>63</v>
      </c>
      <c r="B48">
        <v>29</v>
      </c>
      <c r="C48">
        <v>29</v>
      </c>
    </row>
    <row r="50" spans="1:9" x14ac:dyDescent="0.2">
      <c r="B50" t="s">
        <v>64</v>
      </c>
      <c r="C50" t="s">
        <v>53</v>
      </c>
      <c r="D50" t="s">
        <v>65</v>
      </c>
      <c r="E50" t="s">
        <v>66</v>
      </c>
      <c r="F50" t="s">
        <v>67</v>
      </c>
      <c r="G50" t="s">
        <v>68</v>
      </c>
      <c r="H50" t="s">
        <v>69</v>
      </c>
      <c r="I50" t="s">
        <v>70</v>
      </c>
    </row>
    <row r="51" spans="1:9" x14ac:dyDescent="0.2">
      <c r="A51" t="s">
        <v>71</v>
      </c>
      <c r="B51" s="2">
        <v>-3.4669399999999999E-16</v>
      </c>
      <c r="C51">
        <v>0.18294092000000001</v>
      </c>
      <c r="D51" s="2">
        <v>-1.8951100000000001E-15</v>
      </c>
      <c r="E51">
        <v>1</v>
      </c>
      <c r="F51">
        <v>-0.37473748699999998</v>
      </c>
      <c r="G51">
        <v>0.37473748699999998</v>
      </c>
      <c r="H51">
        <v>-0.37473748699999998</v>
      </c>
      <c r="I51">
        <v>0.37473748699999998</v>
      </c>
    </row>
    <row r="52" spans="1:9" x14ac:dyDescent="0.2">
      <c r="A52" t="s">
        <v>12</v>
      </c>
      <c r="B52">
        <v>-0.17492862300000001</v>
      </c>
      <c r="C52">
        <v>0.186068342</v>
      </c>
      <c r="D52">
        <v>-0.94013103600000003</v>
      </c>
      <c r="E52">
        <v>0.35519071499999999</v>
      </c>
      <c r="F52">
        <v>-0.55607234299999997</v>
      </c>
      <c r="G52">
        <v>0.20621509700000001</v>
      </c>
      <c r="H52">
        <v>-0.55607234299999997</v>
      </c>
      <c r="I52">
        <v>0.20621509700000001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A284-5667-104B-9565-D875BBC67D35}">
  <dimension ref="A1:R53"/>
  <sheetViews>
    <sheetView workbookViewId="0">
      <selection activeCell="P1" sqref="P1:R2"/>
    </sheetView>
  </sheetViews>
  <sheetFormatPr baseColWidth="10" defaultRowHeight="16" x14ac:dyDescent="0.2"/>
  <sheetData>
    <row r="1" spans="1:18" x14ac:dyDescent="0.2">
      <c r="A1" s="4" t="s">
        <v>72</v>
      </c>
      <c r="B1" s="5" t="s">
        <v>73</v>
      </c>
      <c r="C1" s="5" t="s">
        <v>0</v>
      </c>
      <c r="D1" s="5" t="s">
        <v>1</v>
      </c>
      <c r="E1" s="5" t="s">
        <v>2</v>
      </c>
      <c r="F1" s="5" t="s">
        <v>3</v>
      </c>
      <c r="G1" s="5" t="s">
        <v>4</v>
      </c>
      <c r="H1" s="5" t="s">
        <v>5</v>
      </c>
      <c r="I1" s="5" t="s">
        <v>6</v>
      </c>
      <c r="J1" s="5" t="s">
        <v>7</v>
      </c>
      <c r="K1" s="5" t="s">
        <v>8</v>
      </c>
      <c r="L1" s="5" t="s">
        <v>9</v>
      </c>
      <c r="M1" s="10" t="s">
        <v>111</v>
      </c>
      <c r="P1" s="20" t="s">
        <v>120</v>
      </c>
      <c r="R1" t="s">
        <v>121</v>
      </c>
    </row>
    <row r="2" spans="1:18" x14ac:dyDescent="0.2">
      <c r="A2" s="6">
        <v>2023</v>
      </c>
      <c r="B2" s="7">
        <v>80246</v>
      </c>
      <c r="C2" s="7" t="s">
        <v>13</v>
      </c>
      <c r="D2" s="7" t="s">
        <v>81</v>
      </c>
      <c r="E2" s="7" t="s">
        <v>15</v>
      </c>
      <c r="F2" s="7" t="s">
        <v>16</v>
      </c>
      <c r="G2" s="7">
        <v>5.0999999999999996</v>
      </c>
      <c r="H2" s="14">
        <v>13265</v>
      </c>
      <c r="I2" s="7" t="s">
        <v>17</v>
      </c>
      <c r="J2" s="7">
        <v>80246</v>
      </c>
      <c r="K2" s="7" t="s">
        <v>17</v>
      </c>
      <c r="L2" s="15" t="s">
        <v>18</v>
      </c>
      <c r="M2">
        <v>4</v>
      </c>
      <c r="P2">
        <f>(G2-G$33)/G$34</f>
        <v>-0.50123609582947815</v>
      </c>
      <c r="R2">
        <f>(M2-M$33)/M$34</f>
        <v>1.6422650215324541</v>
      </c>
    </row>
    <row r="3" spans="1:18" x14ac:dyDescent="0.2">
      <c r="A3" s="8">
        <v>2023</v>
      </c>
      <c r="B3" s="9">
        <v>80204</v>
      </c>
      <c r="C3" s="9" t="s">
        <v>13</v>
      </c>
      <c r="D3" s="9" t="s">
        <v>81</v>
      </c>
      <c r="E3" s="9" t="s">
        <v>15</v>
      </c>
      <c r="F3" s="9" t="s">
        <v>16</v>
      </c>
      <c r="G3" s="9">
        <v>4.4000000000000004</v>
      </c>
      <c r="H3" s="16">
        <v>35269</v>
      </c>
      <c r="I3" s="9" t="s">
        <v>19</v>
      </c>
      <c r="J3" s="9">
        <v>80204</v>
      </c>
      <c r="K3" s="9" t="s">
        <v>19</v>
      </c>
      <c r="L3" s="17" t="s">
        <v>20</v>
      </c>
      <c r="M3">
        <v>2</v>
      </c>
      <c r="P3">
        <f t="shared" ref="P3:P31" si="0">(G3-G$33)/G$34</f>
        <v>-1.002472191658955</v>
      </c>
      <c r="R3">
        <f t="shared" ref="R3:R31" si="1">(M3-M$33)/M$34</f>
        <v>-0.11730464439517527</v>
      </c>
    </row>
    <row r="4" spans="1:18" x14ac:dyDescent="0.2">
      <c r="A4" s="6">
        <v>2023</v>
      </c>
      <c r="B4" s="7">
        <v>80204</v>
      </c>
      <c r="C4" s="7" t="s">
        <v>13</v>
      </c>
      <c r="D4" s="7" t="s">
        <v>81</v>
      </c>
      <c r="E4" s="7" t="s">
        <v>15</v>
      </c>
      <c r="F4" s="7" t="s">
        <v>16</v>
      </c>
      <c r="G4" s="7">
        <v>4.4000000000000004</v>
      </c>
      <c r="H4" s="14">
        <v>35269</v>
      </c>
      <c r="I4" s="7" t="s">
        <v>19</v>
      </c>
      <c r="J4" s="7">
        <v>80204</v>
      </c>
      <c r="K4" s="7" t="s">
        <v>19</v>
      </c>
      <c r="L4" s="15" t="s">
        <v>21</v>
      </c>
      <c r="M4">
        <v>3</v>
      </c>
      <c r="P4">
        <f t="shared" si="0"/>
        <v>-1.002472191658955</v>
      </c>
      <c r="R4">
        <f t="shared" si="1"/>
        <v>0.76248018856863942</v>
      </c>
    </row>
    <row r="5" spans="1:18" x14ac:dyDescent="0.2">
      <c r="A5" s="8">
        <v>2023</v>
      </c>
      <c r="B5" s="9">
        <v>80204</v>
      </c>
      <c r="C5" s="9" t="s">
        <v>13</v>
      </c>
      <c r="D5" s="9" t="s">
        <v>81</v>
      </c>
      <c r="E5" s="9" t="s">
        <v>15</v>
      </c>
      <c r="F5" s="9" t="s">
        <v>16</v>
      </c>
      <c r="G5" s="9">
        <v>4.4000000000000004</v>
      </c>
      <c r="H5" s="16">
        <v>35269</v>
      </c>
      <c r="I5" s="9" t="s">
        <v>22</v>
      </c>
      <c r="J5" s="9">
        <v>80204</v>
      </c>
      <c r="K5" s="9" t="s">
        <v>22</v>
      </c>
      <c r="L5" s="17" t="s">
        <v>23</v>
      </c>
      <c r="M5">
        <v>2</v>
      </c>
      <c r="P5">
        <f t="shared" si="0"/>
        <v>-1.002472191658955</v>
      </c>
      <c r="R5">
        <f t="shared" si="1"/>
        <v>-0.11730464439517527</v>
      </c>
    </row>
    <row r="6" spans="1:18" x14ac:dyDescent="0.2">
      <c r="A6" s="6">
        <v>2023</v>
      </c>
      <c r="B6" s="7">
        <v>80204</v>
      </c>
      <c r="C6" s="7" t="s">
        <v>13</v>
      </c>
      <c r="D6" s="7" t="s">
        <v>81</v>
      </c>
      <c r="E6" s="7" t="s">
        <v>15</v>
      </c>
      <c r="F6" s="7" t="s">
        <v>16</v>
      </c>
      <c r="G6" s="7">
        <v>4.4000000000000004</v>
      </c>
      <c r="H6" s="14">
        <v>35269</v>
      </c>
      <c r="I6" s="7" t="s">
        <v>24</v>
      </c>
      <c r="J6" s="7">
        <v>80204</v>
      </c>
      <c r="K6" s="7" t="s">
        <v>24</v>
      </c>
      <c r="L6" s="15" t="s">
        <v>23</v>
      </c>
      <c r="M6">
        <v>1</v>
      </c>
      <c r="P6">
        <f t="shared" si="0"/>
        <v>-1.002472191658955</v>
      </c>
      <c r="R6">
        <f t="shared" si="1"/>
        <v>-0.9970894773589899</v>
      </c>
    </row>
    <row r="7" spans="1:18" x14ac:dyDescent="0.2">
      <c r="A7" s="8">
        <v>2023</v>
      </c>
      <c r="B7" s="9">
        <v>80204</v>
      </c>
      <c r="C7" s="9" t="s">
        <v>13</v>
      </c>
      <c r="D7" s="9" t="s">
        <v>81</v>
      </c>
      <c r="E7" s="9" t="s">
        <v>15</v>
      </c>
      <c r="F7" s="9" t="s">
        <v>16</v>
      </c>
      <c r="G7" s="9">
        <v>4.4000000000000004</v>
      </c>
      <c r="H7" s="16">
        <v>35269</v>
      </c>
      <c r="I7" s="9" t="s">
        <v>25</v>
      </c>
      <c r="J7" s="9">
        <v>80204</v>
      </c>
      <c r="K7" s="9" t="s">
        <v>25</v>
      </c>
      <c r="L7" s="17" t="s">
        <v>23</v>
      </c>
      <c r="M7">
        <v>1</v>
      </c>
      <c r="P7">
        <f t="shared" si="0"/>
        <v>-1.002472191658955</v>
      </c>
      <c r="R7">
        <f t="shared" si="1"/>
        <v>-0.9970894773589899</v>
      </c>
    </row>
    <row r="8" spans="1:18" x14ac:dyDescent="0.2">
      <c r="A8" s="6">
        <v>2023</v>
      </c>
      <c r="B8" s="7">
        <v>80204</v>
      </c>
      <c r="C8" s="7" t="s">
        <v>13</v>
      </c>
      <c r="D8" s="7" t="s">
        <v>81</v>
      </c>
      <c r="E8" s="7" t="s">
        <v>15</v>
      </c>
      <c r="F8" s="7" t="s">
        <v>16</v>
      </c>
      <c r="G8" s="7">
        <v>4.4000000000000004</v>
      </c>
      <c r="H8" s="14">
        <v>35269</v>
      </c>
      <c r="I8" s="7" t="s">
        <v>26</v>
      </c>
      <c r="J8" s="7">
        <v>80204</v>
      </c>
      <c r="K8" s="7" t="s">
        <v>26</v>
      </c>
      <c r="L8" s="15" t="s">
        <v>21</v>
      </c>
      <c r="M8">
        <v>1</v>
      </c>
      <c r="P8">
        <f t="shared" si="0"/>
        <v>-1.002472191658955</v>
      </c>
      <c r="R8">
        <f t="shared" si="1"/>
        <v>-0.9970894773589899</v>
      </c>
    </row>
    <row r="9" spans="1:18" x14ac:dyDescent="0.2">
      <c r="A9" s="8">
        <v>2023</v>
      </c>
      <c r="B9" s="9">
        <v>80205</v>
      </c>
      <c r="C9" s="9" t="s">
        <v>13</v>
      </c>
      <c r="D9" s="9" t="s">
        <v>81</v>
      </c>
      <c r="E9" s="9" t="s">
        <v>15</v>
      </c>
      <c r="F9" s="9" t="s">
        <v>16</v>
      </c>
      <c r="G9" s="9">
        <v>4.3</v>
      </c>
      <c r="H9" s="16">
        <v>34967</v>
      </c>
      <c r="I9" s="9" t="s">
        <v>27</v>
      </c>
      <c r="J9" s="9">
        <v>80205</v>
      </c>
      <c r="K9" s="9" t="s">
        <v>27</v>
      </c>
      <c r="L9" s="17" t="s">
        <v>21</v>
      </c>
      <c r="M9">
        <v>1</v>
      </c>
      <c r="P9">
        <f t="shared" si="0"/>
        <v>-1.0740773482060235</v>
      </c>
      <c r="R9">
        <f t="shared" si="1"/>
        <v>-0.9970894773589899</v>
      </c>
    </row>
    <row r="10" spans="1:18" x14ac:dyDescent="0.2">
      <c r="A10" s="6">
        <v>2023</v>
      </c>
      <c r="B10" s="7">
        <v>80205</v>
      </c>
      <c r="C10" s="7" t="s">
        <v>13</v>
      </c>
      <c r="D10" s="7" t="s">
        <v>81</v>
      </c>
      <c r="E10" s="7" t="s">
        <v>15</v>
      </c>
      <c r="F10" s="7" t="s">
        <v>16</v>
      </c>
      <c r="G10" s="7">
        <v>4.3</v>
      </c>
      <c r="H10" s="14">
        <v>34967</v>
      </c>
      <c r="I10" s="7" t="s">
        <v>28</v>
      </c>
      <c r="J10" s="7">
        <v>80205</v>
      </c>
      <c r="K10" s="7" t="s">
        <v>28</v>
      </c>
      <c r="L10" s="15" t="s">
        <v>23</v>
      </c>
      <c r="M10">
        <v>2</v>
      </c>
      <c r="P10">
        <f t="shared" si="0"/>
        <v>-1.0740773482060235</v>
      </c>
      <c r="R10">
        <f t="shared" si="1"/>
        <v>-0.11730464439517527</v>
      </c>
    </row>
    <row r="11" spans="1:18" x14ac:dyDescent="0.2">
      <c r="A11" s="8">
        <v>2023</v>
      </c>
      <c r="B11" s="9">
        <v>80205</v>
      </c>
      <c r="C11" s="9" t="s">
        <v>13</v>
      </c>
      <c r="D11" s="9" t="s">
        <v>81</v>
      </c>
      <c r="E11" s="9" t="s">
        <v>15</v>
      </c>
      <c r="F11" s="9" t="s">
        <v>16</v>
      </c>
      <c r="G11" s="9">
        <v>4.3</v>
      </c>
      <c r="H11" s="16">
        <v>34967</v>
      </c>
      <c r="I11" s="9" t="s">
        <v>29</v>
      </c>
      <c r="J11" s="9">
        <v>80205</v>
      </c>
      <c r="K11" s="9" t="s">
        <v>29</v>
      </c>
      <c r="L11" s="17" t="s">
        <v>23</v>
      </c>
      <c r="M11">
        <v>1</v>
      </c>
      <c r="P11">
        <f t="shared" si="0"/>
        <v>-1.0740773482060235</v>
      </c>
      <c r="R11">
        <f t="shared" si="1"/>
        <v>-0.9970894773589899</v>
      </c>
    </row>
    <row r="12" spans="1:18" x14ac:dyDescent="0.2">
      <c r="A12" s="6">
        <v>2023</v>
      </c>
      <c r="B12" s="7">
        <v>80205</v>
      </c>
      <c r="C12" s="7" t="s">
        <v>13</v>
      </c>
      <c r="D12" s="7" t="s">
        <v>81</v>
      </c>
      <c r="E12" s="7" t="s">
        <v>15</v>
      </c>
      <c r="F12" s="7" t="s">
        <v>16</v>
      </c>
      <c r="G12" s="7">
        <v>4.3</v>
      </c>
      <c r="H12" s="14">
        <v>34967</v>
      </c>
      <c r="I12" s="7" t="s">
        <v>30</v>
      </c>
      <c r="J12" s="7">
        <v>80205</v>
      </c>
      <c r="K12" s="7" t="s">
        <v>30</v>
      </c>
      <c r="L12" s="15" t="s">
        <v>23</v>
      </c>
      <c r="M12">
        <v>1</v>
      </c>
      <c r="P12">
        <f t="shared" si="0"/>
        <v>-1.0740773482060235</v>
      </c>
      <c r="R12">
        <f t="shared" si="1"/>
        <v>-0.9970894773589899</v>
      </c>
    </row>
    <row r="13" spans="1:18" x14ac:dyDescent="0.2">
      <c r="A13" s="8">
        <v>2023</v>
      </c>
      <c r="B13" s="9">
        <v>80205</v>
      </c>
      <c r="C13" s="9" t="s">
        <v>13</v>
      </c>
      <c r="D13" s="9" t="s">
        <v>81</v>
      </c>
      <c r="E13" s="9" t="s">
        <v>15</v>
      </c>
      <c r="F13" s="9" t="s">
        <v>16</v>
      </c>
      <c r="G13" s="9">
        <v>4.3</v>
      </c>
      <c r="H13" s="16">
        <v>34967</v>
      </c>
      <c r="I13" s="9" t="s">
        <v>30</v>
      </c>
      <c r="J13" s="9">
        <v>80205</v>
      </c>
      <c r="K13" s="9" t="s">
        <v>30</v>
      </c>
      <c r="L13" s="17" t="s">
        <v>23</v>
      </c>
      <c r="M13">
        <v>1</v>
      </c>
      <c r="P13">
        <f t="shared" si="0"/>
        <v>-1.0740773482060235</v>
      </c>
      <c r="R13">
        <f t="shared" si="1"/>
        <v>-0.9970894773589899</v>
      </c>
    </row>
    <row r="14" spans="1:18" x14ac:dyDescent="0.2">
      <c r="A14" s="6">
        <v>2023</v>
      </c>
      <c r="B14" s="7">
        <v>80206</v>
      </c>
      <c r="C14" s="7" t="s">
        <v>13</v>
      </c>
      <c r="D14" s="7" t="s">
        <v>81</v>
      </c>
      <c r="E14" s="7" t="s">
        <v>15</v>
      </c>
      <c r="F14" s="7" t="s">
        <v>16</v>
      </c>
      <c r="G14" s="7">
        <v>7.2</v>
      </c>
      <c r="H14" s="14">
        <v>26108</v>
      </c>
      <c r="I14" s="7" t="s">
        <v>27</v>
      </c>
      <c r="J14" s="7">
        <v>80206</v>
      </c>
      <c r="K14" s="7" t="s">
        <v>27</v>
      </c>
      <c r="L14" s="15" t="s">
        <v>21</v>
      </c>
      <c r="M14">
        <v>2</v>
      </c>
      <c r="P14">
        <f t="shared" si="0"/>
        <v>1.0024721916589543</v>
      </c>
      <c r="R14">
        <f t="shared" si="1"/>
        <v>-0.11730464439517527</v>
      </c>
    </row>
    <row r="15" spans="1:18" x14ac:dyDescent="0.2">
      <c r="A15" s="8">
        <v>2023</v>
      </c>
      <c r="B15" s="9">
        <v>80206</v>
      </c>
      <c r="C15" s="9" t="s">
        <v>13</v>
      </c>
      <c r="D15" s="9" t="s">
        <v>81</v>
      </c>
      <c r="E15" s="9" t="s">
        <v>15</v>
      </c>
      <c r="F15" s="9" t="s">
        <v>16</v>
      </c>
      <c r="G15" s="9">
        <v>7.2</v>
      </c>
      <c r="H15" s="16">
        <v>26108</v>
      </c>
      <c r="I15" s="9" t="s">
        <v>31</v>
      </c>
      <c r="J15" s="9">
        <v>80206</v>
      </c>
      <c r="K15" s="9" t="s">
        <v>31</v>
      </c>
      <c r="L15" s="17" t="s">
        <v>18</v>
      </c>
      <c r="M15">
        <v>2</v>
      </c>
      <c r="P15">
        <f t="shared" si="0"/>
        <v>1.0024721916589543</v>
      </c>
      <c r="R15">
        <f t="shared" si="1"/>
        <v>-0.11730464439517527</v>
      </c>
    </row>
    <row r="16" spans="1:18" x14ac:dyDescent="0.2">
      <c r="A16" s="6">
        <v>2023</v>
      </c>
      <c r="B16" s="7">
        <v>80206</v>
      </c>
      <c r="C16" s="7" t="s">
        <v>13</v>
      </c>
      <c r="D16" s="7" t="s">
        <v>81</v>
      </c>
      <c r="E16" s="7" t="s">
        <v>15</v>
      </c>
      <c r="F16" s="7" t="s">
        <v>16</v>
      </c>
      <c r="G16" s="7">
        <v>7.2</v>
      </c>
      <c r="H16" s="14">
        <v>26108</v>
      </c>
      <c r="I16" s="7" t="s">
        <v>32</v>
      </c>
      <c r="J16" s="7">
        <v>80206</v>
      </c>
      <c r="K16" s="7" t="s">
        <v>32</v>
      </c>
      <c r="L16" s="15" t="s">
        <v>23</v>
      </c>
      <c r="M16">
        <v>4</v>
      </c>
      <c r="P16">
        <f t="shared" si="0"/>
        <v>1.0024721916589543</v>
      </c>
      <c r="R16">
        <f t="shared" si="1"/>
        <v>1.6422650215324541</v>
      </c>
    </row>
    <row r="17" spans="1:18" x14ac:dyDescent="0.2">
      <c r="A17" s="8">
        <v>2023</v>
      </c>
      <c r="B17" s="9">
        <v>80206</v>
      </c>
      <c r="C17" s="9" t="s">
        <v>13</v>
      </c>
      <c r="D17" s="9" t="s">
        <v>81</v>
      </c>
      <c r="E17" s="9" t="s">
        <v>15</v>
      </c>
      <c r="F17" s="9" t="s">
        <v>16</v>
      </c>
      <c r="G17" s="9">
        <v>7.2</v>
      </c>
      <c r="H17" s="16">
        <v>26108</v>
      </c>
      <c r="I17" s="9" t="s">
        <v>33</v>
      </c>
      <c r="J17" s="9">
        <v>80206</v>
      </c>
      <c r="K17" s="9" t="s">
        <v>33</v>
      </c>
      <c r="L17" s="17" t="s">
        <v>21</v>
      </c>
      <c r="M17">
        <v>1</v>
      </c>
      <c r="P17">
        <f t="shared" si="0"/>
        <v>1.0024721916589543</v>
      </c>
      <c r="R17">
        <f t="shared" si="1"/>
        <v>-0.9970894773589899</v>
      </c>
    </row>
    <row r="18" spans="1:18" x14ac:dyDescent="0.2">
      <c r="A18" s="6">
        <v>2023</v>
      </c>
      <c r="B18" s="7">
        <v>80207</v>
      </c>
      <c r="C18" s="7" t="s">
        <v>13</v>
      </c>
      <c r="D18" s="7" t="s">
        <v>81</v>
      </c>
      <c r="E18" s="7" t="s">
        <v>15</v>
      </c>
      <c r="F18" s="7" t="s">
        <v>16</v>
      </c>
      <c r="G18" s="7">
        <v>6.5</v>
      </c>
      <c r="H18" s="14">
        <v>21170</v>
      </c>
      <c r="I18" s="7" t="s">
        <v>34</v>
      </c>
      <c r="J18" s="7">
        <v>80207</v>
      </c>
      <c r="K18" s="7" t="s">
        <v>34</v>
      </c>
      <c r="L18" s="15" t="s">
        <v>20</v>
      </c>
      <c r="M18">
        <v>3</v>
      </c>
      <c r="P18">
        <f t="shared" si="0"/>
        <v>0.50123609582947681</v>
      </c>
      <c r="R18">
        <f t="shared" si="1"/>
        <v>0.76248018856863942</v>
      </c>
    </row>
    <row r="19" spans="1:18" x14ac:dyDescent="0.2">
      <c r="A19" s="8">
        <v>2023</v>
      </c>
      <c r="B19" s="9">
        <v>80207</v>
      </c>
      <c r="C19" s="9" t="s">
        <v>13</v>
      </c>
      <c r="D19" s="9" t="s">
        <v>81</v>
      </c>
      <c r="E19" s="9" t="s">
        <v>15</v>
      </c>
      <c r="F19" s="9" t="s">
        <v>16</v>
      </c>
      <c r="G19" s="9">
        <v>6.5</v>
      </c>
      <c r="H19" s="16">
        <v>21170</v>
      </c>
      <c r="I19" s="9" t="s">
        <v>35</v>
      </c>
      <c r="J19" s="9">
        <v>80207</v>
      </c>
      <c r="K19" s="9" t="s">
        <v>35</v>
      </c>
      <c r="L19" s="17" t="s">
        <v>20</v>
      </c>
      <c r="M19">
        <v>3</v>
      </c>
      <c r="P19">
        <f t="shared" si="0"/>
        <v>0.50123609582947681</v>
      </c>
      <c r="R19">
        <f t="shared" si="1"/>
        <v>0.76248018856863942</v>
      </c>
    </row>
    <row r="20" spans="1:18" x14ac:dyDescent="0.2">
      <c r="A20" s="6">
        <v>2023</v>
      </c>
      <c r="B20" s="7">
        <v>80209</v>
      </c>
      <c r="C20" s="7" t="s">
        <v>13</v>
      </c>
      <c r="D20" s="7" t="s">
        <v>81</v>
      </c>
      <c r="E20" s="7" t="s">
        <v>15</v>
      </c>
      <c r="F20" s="7" t="s">
        <v>16</v>
      </c>
      <c r="G20" s="7">
        <v>8</v>
      </c>
      <c r="H20" s="14">
        <v>27061</v>
      </c>
      <c r="I20" s="7" t="s">
        <v>32</v>
      </c>
      <c r="J20" s="7">
        <v>80209</v>
      </c>
      <c r="K20" s="7" t="s">
        <v>32</v>
      </c>
      <c r="L20" s="15" t="s">
        <v>23</v>
      </c>
      <c r="M20">
        <v>4</v>
      </c>
      <c r="P20">
        <f t="shared" si="0"/>
        <v>1.5753134440354997</v>
      </c>
      <c r="R20">
        <f t="shared" si="1"/>
        <v>1.6422650215324541</v>
      </c>
    </row>
    <row r="21" spans="1:18" x14ac:dyDescent="0.2">
      <c r="A21" s="8">
        <v>2023</v>
      </c>
      <c r="B21" s="9">
        <v>80209</v>
      </c>
      <c r="C21" s="9" t="s">
        <v>13</v>
      </c>
      <c r="D21" s="9" t="s">
        <v>81</v>
      </c>
      <c r="E21" s="9" t="s">
        <v>15</v>
      </c>
      <c r="F21" s="9" t="s">
        <v>16</v>
      </c>
      <c r="G21" s="9">
        <v>8</v>
      </c>
      <c r="H21" s="16">
        <v>27061</v>
      </c>
      <c r="I21" s="9" t="s">
        <v>17</v>
      </c>
      <c r="J21" s="9">
        <v>80209</v>
      </c>
      <c r="K21" s="9" t="s">
        <v>17</v>
      </c>
      <c r="L21" s="17" t="s">
        <v>18</v>
      </c>
      <c r="M21">
        <v>1</v>
      </c>
      <c r="P21">
        <f t="shared" si="0"/>
        <v>1.5753134440354997</v>
      </c>
      <c r="R21">
        <f t="shared" si="1"/>
        <v>-0.9970894773589899</v>
      </c>
    </row>
    <row r="22" spans="1:18" x14ac:dyDescent="0.2">
      <c r="A22" s="6">
        <v>2023</v>
      </c>
      <c r="B22" s="7">
        <v>80209</v>
      </c>
      <c r="C22" s="7" t="s">
        <v>13</v>
      </c>
      <c r="D22" s="7" t="s">
        <v>81</v>
      </c>
      <c r="E22" s="7" t="s">
        <v>15</v>
      </c>
      <c r="F22" s="7" t="s">
        <v>16</v>
      </c>
      <c r="G22" s="7">
        <v>8</v>
      </c>
      <c r="H22" s="14">
        <v>27061</v>
      </c>
      <c r="I22" s="7" t="s">
        <v>36</v>
      </c>
      <c r="J22" s="7">
        <v>80209</v>
      </c>
      <c r="K22" s="7" t="s">
        <v>36</v>
      </c>
      <c r="L22" s="15" t="s">
        <v>18</v>
      </c>
      <c r="M22">
        <v>4</v>
      </c>
      <c r="P22">
        <f t="shared" si="0"/>
        <v>1.5753134440354997</v>
      </c>
      <c r="R22">
        <f t="shared" si="1"/>
        <v>1.6422650215324541</v>
      </c>
    </row>
    <row r="23" spans="1:18" x14ac:dyDescent="0.2">
      <c r="A23" s="8">
        <v>2023</v>
      </c>
      <c r="B23" s="9">
        <v>80209</v>
      </c>
      <c r="C23" s="9" t="s">
        <v>13</v>
      </c>
      <c r="D23" s="9" t="s">
        <v>81</v>
      </c>
      <c r="E23" s="9" t="s">
        <v>15</v>
      </c>
      <c r="F23" s="9" t="s">
        <v>16</v>
      </c>
      <c r="G23" s="9">
        <v>8</v>
      </c>
      <c r="H23" s="16">
        <v>27061</v>
      </c>
      <c r="I23" s="9" t="s">
        <v>37</v>
      </c>
      <c r="J23" s="9">
        <v>80209</v>
      </c>
      <c r="K23" s="9" t="s">
        <v>37</v>
      </c>
      <c r="L23" s="17" t="s">
        <v>18</v>
      </c>
      <c r="M23">
        <v>4</v>
      </c>
      <c r="P23">
        <f t="shared" si="0"/>
        <v>1.5753134440354997</v>
      </c>
      <c r="R23">
        <f t="shared" si="1"/>
        <v>1.6422650215324541</v>
      </c>
    </row>
    <row r="24" spans="1:18" x14ac:dyDescent="0.2">
      <c r="A24" s="6">
        <v>2023</v>
      </c>
      <c r="B24" s="7">
        <v>80210</v>
      </c>
      <c r="C24" s="7" t="s">
        <v>13</v>
      </c>
      <c r="D24" s="7" t="s">
        <v>81</v>
      </c>
      <c r="E24" s="7" t="s">
        <v>15</v>
      </c>
      <c r="F24" s="7" t="s">
        <v>16</v>
      </c>
      <c r="G24" s="7">
        <v>6.5</v>
      </c>
      <c r="H24" s="14">
        <v>39394</v>
      </c>
      <c r="I24" s="7" t="s">
        <v>38</v>
      </c>
      <c r="J24" s="7">
        <v>80210</v>
      </c>
      <c r="K24" s="7" t="s">
        <v>38</v>
      </c>
      <c r="L24" s="15" t="s">
        <v>21</v>
      </c>
      <c r="M24">
        <v>4</v>
      </c>
      <c r="P24">
        <f t="shared" si="0"/>
        <v>0.50123609582947681</v>
      </c>
      <c r="R24">
        <f t="shared" si="1"/>
        <v>1.6422650215324541</v>
      </c>
    </row>
    <row r="25" spans="1:18" x14ac:dyDescent="0.2">
      <c r="A25" s="8">
        <v>2023</v>
      </c>
      <c r="B25" s="9">
        <v>80210</v>
      </c>
      <c r="C25" s="9" t="s">
        <v>13</v>
      </c>
      <c r="D25" s="9" t="s">
        <v>81</v>
      </c>
      <c r="E25" s="9" t="s">
        <v>15</v>
      </c>
      <c r="F25" s="9" t="s">
        <v>16</v>
      </c>
      <c r="G25" s="9">
        <v>6.5</v>
      </c>
      <c r="H25" s="16">
        <v>39394</v>
      </c>
      <c r="I25" s="9" t="s">
        <v>39</v>
      </c>
      <c r="J25" s="9">
        <v>80210</v>
      </c>
      <c r="K25" s="9" t="s">
        <v>39</v>
      </c>
      <c r="L25" s="17" t="s">
        <v>21</v>
      </c>
      <c r="M25">
        <v>2</v>
      </c>
      <c r="P25">
        <f t="shared" si="0"/>
        <v>0.50123609582947681</v>
      </c>
      <c r="R25">
        <f t="shared" si="1"/>
        <v>-0.11730464439517527</v>
      </c>
    </row>
    <row r="26" spans="1:18" x14ac:dyDescent="0.2">
      <c r="A26" s="6">
        <v>2023</v>
      </c>
      <c r="B26" s="7">
        <v>80210</v>
      </c>
      <c r="C26" s="7" t="s">
        <v>13</v>
      </c>
      <c r="D26" s="7" t="s">
        <v>81</v>
      </c>
      <c r="E26" s="7" t="s">
        <v>15</v>
      </c>
      <c r="F26" s="7" t="s">
        <v>16</v>
      </c>
      <c r="G26" s="7">
        <v>6.5</v>
      </c>
      <c r="H26" s="14">
        <v>39394</v>
      </c>
      <c r="I26" s="7" t="s">
        <v>40</v>
      </c>
      <c r="J26" s="7">
        <v>80210</v>
      </c>
      <c r="K26" s="7" t="s">
        <v>40</v>
      </c>
      <c r="L26" s="15" t="s">
        <v>21</v>
      </c>
      <c r="M26">
        <v>2</v>
      </c>
      <c r="P26">
        <f t="shared" si="0"/>
        <v>0.50123609582947681</v>
      </c>
      <c r="R26">
        <f t="shared" si="1"/>
        <v>-0.11730464439517527</v>
      </c>
    </row>
    <row r="27" spans="1:18" x14ac:dyDescent="0.2">
      <c r="A27" s="8">
        <v>2023</v>
      </c>
      <c r="B27" s="9">
        <v>80210</v>
      </c>
      <c r="C27" s="9" t="s">
        <v>13</v>
      </c>
      <c r="D27" s="9" t="s">
        <v>81</v>
      </c>
      <c r="E27" s="9" t="s">
        <v>15</v>
      </c>
      <c r="F27" s="9" t="s">
        <v>16</v>
      </c>
      <c r="G27" s="9">
        <v>6.5</v>
      </c>
      <c r="H27" s="16">
        <v>39394</v>
      </c>
      <c r="I27" s="9" t="s">
        <v>41</v>
      </c>
      <c r="J27" s="9">
        <v>80210</v>
      </c>
      <c r="K27" s="9" t="s">
        <v>41</v>
      </c>
      <c r="L27" s="17" t="s">
        <v>21</v>
      </c>
      <c r="M27">
        <v>2</v>
      </c>
      <c r="P27">
        <f t="shared" si="0"/>
        <v>0.50123609582947681</v>
      </c>
      <c r="R27">
        <f t="shared" si="1"/>
        <v>-0.11730464439517527</v>
      </c>
    </row>
    <row r="28" spans="1:18" x14ac:dyDescent="0.2">
      <c r="A28" s="6">
        <v>2023</v>
      </c>
      <c r="B28" s="7">
        <v>80210</v>
      </c>
      <c r="C28" s="7" t="s">
        <v>13</v>
      </c>
      <c r="D28" s="7" t="s">
        <v>81</v>
      </c>
      <c r="E28" s="7" t="s">
        <v>15</v>
      </c>
      <c r="F28" s="7" t="s">
        <v>16</v>
      </c>
      <c r="G28" s="7">
        <v>6.5</v>
      </c>
      <c r="H28" s="14">
        <v>39394</v>
      </c>
      <c r="I28" s="7" t="s">
        <v>42</v>
      </c>
      <c r="J28" s="7">
        <v>80210</v>
      </c>
      <c r="K28" s="7" t="s">
        <v>42</v>
      </c>
      <c r="L28" s="15" t="s">
        <v>18</v>
      </c>
      <c r="M28">
        <v>2</v>
      </c>
      <c r="P28">
        <f t="shared" si="0"/>
        <v>0.50123609582947681</v>
      </c>
      <c r="R28">
        <f t="shared" si="1"/>
        <v>-0.11730464439517527</v>
      </c>
    </row>
    <row r="29" spans="1:18" x14ac:dyDescent="0.2">
      <c r="A29" s="8">
        <v>2023</v>
      </c>
      <c r="B29" s="9">
        <v>80211</v>
      </c>
      <c r="C29" s="9" t="s">
        <v>13</v>
      </c>
      <c r="D29" s="9" t="s">
        <v>81</v>
      </c>
      <c r="E29" s="9" t="s">
        <v>15</v>
      </c>
      <c r="F29" s="9" t="s">
        <v>16</v>
      </c>
      <c r="G29" s="9">
        <v>4.9000000000000004</v>
      </c>
      <c r="H29" s="16">
        <v>37940</v>
      </c>
      <c r="I29" s="9" t="s">
        <v>43</v>
      </c>
      <c r="J29" s="9">
        <v>80211</v>
      </c>
      <c r="K29" s="9" t="s">
        <v>43</v>
      </c>
      <c r="L29" s="17" t="s">
        <v>23</v>
      </c>
      <c r="M29">
        <v>2</v>
      </c>
      <c r="P29">
        <f t="shared" si="0"/>
        <v>-0.64444640892361393</v>
      </c>
      <c r="R29">
        <f t="shared" si="1"/>
        <v>-0.11730464439517527</v>
      </c>
    </row>
    <row r="30" spans="1:18" x14ac:dyDescent="0.2">
      <c r="A30" s="6">
        <v>2023</v>
      </c>
      <c r="B30" s="7">
        <v>80211</v>
      </c>
      <c r="C30" s="7" t="s">
        <v>13</v>
      </c>
      <c r="D30" s="7" t="s">
        <v>81</v>
      </c>
      <c r="E30" s="7" t="s">
        <v>15</v>
      </c>
      <c r="F30" s="7" t="s">
        <v>16</v>
      </c>
      <c r="G30" s="7">
        <v>4.9000000000000004</v>
      </c>
      <c r="H30" s="14">
        <v>37940</v>
      </c>
      <c r="I30" s="7" t="s">
        <v>44</v>
      </c>
      <c r="J30" s="7">
        <v>80211</v>
      </c>
      <c r="K30" s="7" t="s">
        <v>44</v>
      </c>
      <c r="L30" s="15" t="s">
        <v>23</v>
      </c>
      <c r="M30">
        <v>1</v>
      </c>
      <c r="P30">
        <f t="shared" si="0"/>
        <v>-0.64444640892361393</v>
      </c>
      <c r="R30">
        <f t="shared" si="1"/>
        <v>-0.9970894773589899</v>
      </c>
    </row>
    <row r="31" spans="1:18" x14ac:dyDescent="0.2">
      <c r="A31" s="8">
        <v>2023</v>
      </c>
      <c r="B31" s="9">
        <v>80211</v>
      </c>
      <c r="C31" s="9" t="s">
        <v>13</v>
      </c>
      <c r="D31" s="9" t="s">
        <v>81</v>
      </c>
      <c r="E31" s="9" t="s">
        <v>15</v>
      </c>
      <c r="F31" s="9" t="s">
        <v>16</v>
      </c>
      <c r="G31" s="9">
        <v>4.9000000000000004</v>
      </c>
      <c r="H31" s="16">
        <v>37940</v>
      </c>
      <c r="I31" s="9" t="s">
        <v>45</v>
      </c>
      <c r="J31" s="9">
        <v>80211</v>
      </c>
      <c r="K31" s="9" t="s">
        <v>45</v>
      </c>
      <c r="L31" s="17" t="s">
        <v>21</v>
      </c>
      <c r="M31">
        <v>1</v>
      </c>
      <c r="P31">
        <f t="shared" si="0"/>
        <v>-0.64444640892361393</v>
      </c>
      <c r="R31">
        <f t="shared" si="1"/>
        <v>-0.9970894773589899</v>
      </c>
    </row>
    <row r="32" spans="1:18" x14ac:dyDescent="0.2">
      <c r="F32" s="18"/>
    </row>
    <row r="33" spans="1:13" x14ac:dyDescent="0.2">
      <c r="F33" s="19" t="s">
        <v>46</v>
      </c>
      <c r="G33">
        <f>AVERAGE(G2:G31)</f>
        <v>5.8000000000000007</v>
      </c>
      <c r="L33" t="s">
        <v>46</v>
      </c>
      <c r="M33">
        <f>AVERAGE(M2:M31)</f>
        <v>2.1333333333333333</v>
      </c>
    </row>
    <row r="34" spans="1:13" x14ac:dyDescent="0.2">
      <c r="F34" s="18" t="s">
        <v>47</v>
      </c>
      <c r="G34">
        <f>_xlfn.STDEV.S(G2:G31)</f>
        <v>1.3965474670007465</v>
      </c>
      <c r="L34" t="s">
        <v>47</v>
      </c>
      <c r="M34">
        <f>_xlfn.STDEV.S(M2:M31)</f>
        <v>1.1366415543118709</v>
      </c>
    </row>
    <row r="36" spans="1:13" x14ac:dyDescent="0.2">
      <c r="A36" t="s">
        <v>48</v>
      </c>
    </row>
    <row r="37" spans="1:13" ht="17" thickBot="1" x14ac:dyDescent="0.25"/>
    <row r="38" spans="1:13" x14ac:dyDescent="0.2">
      <c r="A38" s="24" t="s">
        <v>49</v>
      </c>
      <c r="B38" s="24"/>
    </row>
    <row r="39" spans="1:13" x14ac:dyDescent="0.2">
      <c r="A39" s="21" t="s">
        <v>50</v>
      </c>
      <c r="B39" s="21">
        <v>0.53004482375430595</v>
      </c>
    </row>
    <row r="40" spans="1:13" x14ac:dyDescent="0.2">
      <c r="A40" s="21" t="s">
        <v>51</v>
      </c>
      <c r="B40" s="21">
        <v>0.28094751518873329</v>
      </c>
    </row>
    <row r="41" spans="1:13" x14ac:dyDescent="0.2">
      <c r="A41" s="21" t="s">
        <v>52</v>
      </c>
      <c r="B41" s="21">
        <v>0.25526706930261661</v>
      </c>
    </row>
    <row r="42" spans="1:13" x14ac:dyDescent="0.2">
      <c r="A42" s="21" t="s">
        <v>53</v>
      </c>
      <c r="B42" s="21">
        <v>0.86297910212089468</v>
      </c>
    </row>
    <row r="43" spans="1:13" ht="17" thickBot="1" x14ac:dyDescent="0.25">
      <c r="A43" s="22" t="s">
        <v>54</v>
      </c>
      <c r="B43" s="22">
        <v>30</v>
      </c>
    </row>
    <row r="45" spans="1:13" ht="17" thickBot="1" x14ac:dyDescent="0.25">
      <c r="A45" t="s">
        <v>55</v>
      </c>
    </row>
    <row r="46" spans="1:13" x14ac:dyDescent="0.2">
      <c r="A46" s="23"/>
      <c r="B46" s="23" t="s">
        <v>56</v>
      </c>
      <c r="C46" s="23" t="s">
        <v>57</v>
      </c>
      <c r="D46" s="23" t="s">
        <v>58</v>
      </c>
      <c r="E46" s="23" t="s">
        <v>59</v>
      </c>
      <c r="F46" s="23" t="s">
        <v>60</v>
      </c>
    </row>
    <row r="47" spans="1:13" x14ac:dyDescent="0.2">
      <c r="A47" s="21" t="s">
        <v>61</v>
      </c>
      <c r="B47" s="21">
        <v>1</v>
      </c>
      <c r="C47" s="21">
        <v>8.1474779404732907</v>
      </c>
      <c r="D47" s="21">
        <v>8.1474779404732907</v>
      </c>
      <c r="E47" s="21">
        <v>10.940133844818435</v>
      </c>
      <c r="F47" s="21">
        <v>2.5897227721869212E-3</v>
      </c>
    </row>
    <row r="48" spans="1:13" x14ac:dyDescent="0.2">
      <c r="A48" s="21" t="s">
        <v>62</v>
      </c>
      <c r="B48" s="21">
        <v>28</v>
      </c>
      <c r="C48" s="21">
        <v>20.852522059526798</v>
      </c>
      <c r="D48" s="21">
        <v>0.74473293069738566</v>
      </c>
      <c r="E48" s="21"/>
      <c r="F48" s="21"/>
    </row>
    <row r="49" spans="1:9" ht="17" thickBot="1" x14ac:dyDescent="0.25">
      <c r="A49" s="22" t="s">
        <v>63</v>
      </c>
      <c r="B49" s="22">
        <v>29</v>
      </c>
      <c r="C49" s="22">
        <v>29.000000000000089</v>
      </c>
      <c r="D49" s="22"/>
      <c r="E49" s="22"/>
      <c r="F49" s="22"/>
    </row>
    <row r="50" spans="1:9" ht="17" thickBot="1" x14ac:dyDescent="0.25"/>
    <row r="51" spans="1:9" x14ac:dyDescent="0.2">
      <c r="A51" s="23"/>
      <c r="B51" s="23" t="s">
        <v>64</v>
      </c>
      <c r="C51" s="23" t="s">
        <v>53</v>
      </c>
      <c r="D51" s="23" t="s">
        <v>65</v>
      </c>
      <c r="E51" s="23" t="s">
        <v>66</v>
      </c>
      <c r="F51" s="23" t="s">
        <v>67</v>
      </c>
      <c r="G51" s="23" t="s">
        <v>68</v>
      </c>
      <c r="H51" s="23" t="s">
        <v>69</v>
      </c>
      <c r="I51" s="23" t="s">
        <v>70</v>
      </c>
    </row>
    <row r="52" spans="1:9" x14ac:dyDescent="0.2">
      <c r="A52" s="21" t="s">
        <v>71</v>
      </c>
      <c r="B52" s="21">
        <v>-4.0493766685193918E-16</v>
      </c>
      <c r="C52" s="21">
        <v>0.15755770696238944</v>
      </c>
      <c r="D52" s="21">
        <v>-2.5700911409468643E-15</v>
      </c>
      <c r="E52" s="21">
        <v>1</v>
      </c>
      <c r="F52" s="21">
        <v>-0.32274233218664128</v>
      </c>
      <c r="G52" s="21">
        <v>0.32274233218664045</v>
      </c>
      <c r="H52" s="21">
        <v>-0.32274233218664128</v>
      </c>
      <c r="I52" s="21">
        <v>0.32274233218664045</v>
      </c>
    </row>
    <row r="53" spans="1:9" ht="17" thickBot="1" x14ac:dyDescent="0.25">
      <c r="A53" s="22" t="s">
        <v>121</v>
      </c>
      <c r="B53" s="22">
        <v>0.53004482375430562</v>
      </c>
      <c r="C53" s="22">
        <v>0.16025119620806808</v>
      </c>
      <c r="D53" s="22">
        <v>3.3075873147686354</v>
      </c>
      <c r="E53" s="22">
        <v>2.5897227721869628E-3</v>
      </c>
      <c r="F53" s="22">
        <v>0.20178512896046796</v>
      </c>
      <c r="G53" s="22">
        <v>0.85830451854814327</v>
      </c>
      <c r="H53" s="22">
        <v>0.20178512896046796</v>
      </c>
      <c r="I53" s="22">
        <v>0.85830451854814327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5503-AAE4-5543-9D6D-CFF72CF07C9E}">
  <dimension ref="A1:R53"/>
  <sheetViews>
    <sheetView tabSelected="1" topLeftCell="A31" workbookViewId="0">
      <selection activeCell="E61" sqref="E61"/>
    </sheetView>
  </sheetViews>
  <sheetFormatPr baseColWidth="10" defaultRowHeight="16" x14ac:dyDescent="0.2"/>
  <sheetData>
    <row r="1" spans="1:18" x14ac:dyDescent="0.2">
      <c r="A1" s="4" t="s">
        <v>72</v>
      </c>
      <c r="B1" s="5" t="s">
        <v>73</v>
      </c>
      <c r="C1" s="5" t="s">
        <v>0</v>
      </c>
      <c r="D1" s="5" t="s">
        <v>1</v>
      </c>
      <c r="E1" s="5" t="s">
        <v>2</v>
      </c>
      <c r="F1" s="5" t="s">
        <v>3</v>
      </c>
      <c r="G1" s="5" t="s">
        <v>4</v>
      </c>
      <c r="H1" s="5" t="s">
        <v>5</v>
      </c>
      <c r="I1" s="5" t="s">
        <v>6</v>
      </c>
      <c r="J1" s="5" t="s">
        <v>7</v>
      </c>
      <c r="K1" s="5" t="s">
        <v>8</v>
      </c>
      <c r="L1" s="5" t="s">
        <v>9</v>
      </c>
      <c r="M1" s="10" t="s">
        <v>111</v>
      </c>
      <c r="P1" s="20" t="s">
        <v>120</v>
      </c>
      <c r="R1" t="s">
        <v>121</v>
      </c>
    </row>
    <row r="2" spans="1:18" x14ac:dyDescent="0.2">
      <c r="A2" s="6">
        <v>2023</v>
      </c>
      <c r="B2" s="7">
        <v>80246</v>
      </c>
      <c r="C2" s="7" t="s">
        <v>74</v>
      </c>
      <c r="D2" s="7" t="s">
        <v>84</v>
      </c>
      <c r="E2" s="7" t="s">
        <v>15</v>
      </c>
      <c r="F2" s="7" t="s">
        <v>16</v>
      </c>
      <c r="G2" s="7">
        <v>66.099999999999994</v>
      </c>
      <c r="H2" s="14">
        <v>13265</v>
      </c>
      <c r="I2" s="7" t="s">
        <v>17</v>
      </c>
      <c r="J2" s="7">
        <v>80246</v>
      </c>
      <c r="K2" s="7" t="s">
        <v>17</v>
      </c>
      <c r="L2" s="15" t="s">
        <v>18</v>
      </c>
      <c r="M2">
        <v>4</v>
      </c>
      <c r="P2">
        <f>(G2-G$33)/G$34</f>
        <v>-1.2881271009711937</v>
      </c>
      <c r="R2">
        <f>(M2-M$33)/M$34</f>
        <v>1.6422650215324541</v>
      </c>
    </row>
    <row r="3" spans="1:18" x14ac:dyDescent="0.2">
      <c r="A3" s="8">
        <v>2023</v>
      </c>
      <c r="B3" s="9">
        <v>80204</v>
      </c>
      <c r="C3" s="9" t="s">
        <v>74</v>
      </c>
      <c r="D3" s="9" t="s">
        <v>84</v>
      </c>
      <c r="E3" s="9" t="s">
        <v>15</v>
      </c>
      <c r="F3" s="9" t="s">
        <v>16</v>
      </c>
      <c r="G3" s="9">
        <v>66.5</v>
      </c>
      <c r="H3" s="16">
        <v>35269</v>
      </c>
      <c r="I3" s="9" t="s">
        <v>19</v>
      </c>
      <c r="J3" s="9">
        <v>80204</v>
      </c>
      <c r="K3" s="9" t="s">
        <v>19</v>
      </c>
      <c r="L3" s="17" t="s">
        <v>20</v>
      </c>
      <c r="M3">
        <v>2</v>
      </c>
      <c r="P3">
        <f t="shared" ref="P3:P31" si="0">(G3-G$33)/G$34</f>
        <v>-1.1034493804018466</v>
      </c>
      <c r="R3">
        <f t="shared" ref="R3:R31" si="1">(M3-M$33)/M$34</f>
        <v>-0.11730464439517527</v>
      </c>
    </row>
    <row r="4" spans="1:18" x14ac:dyDescent="0.2">
      <c r="A4" s="6">
        <v>2023</v>
      </c>
      <c r="B4" s="7">
        <v>80204</v>
      </c>
      <c r="C4" s="7" t="s">
        <v>74</v>
      </c>
      <c r="D4" s="7" t="s">
        <v>84</v>
      </c>
      <c r="E4" s="7" t="s">
        <v>15</v>
      </c>
      <c r="F4" s="7" t="s">
        <v>16</v>
      </c>
      <c r="G4" s="7">
        <v>66.5</v>
      </c>
      <c r="H4" s="14">
        <v>35269</v>
      </c>
      <c r="I4" s="7" t="s">
        <v>19</v>
      </c>
      <c r="J4" s="7">
        <v>80204</v>
      </c>
      <c r="K4" s="7" t="s">
        <v>19</v>
      </c>
      <c r="L4" s="15" t="s">
        <v>21</v>
      </c>
      <c r="M4">
        <v>3</v>
      </c>
      <c r="P4">
        <f t="shared" si="0"/>
        <v>-1.1034493804018466</v>
      </c>
      <c r="R4">
        <f t="shared" si="1"/>
        <v>0.76248018856863942</v>
      </c>
    </row>
    <row r="5" spans="1:18" x14ac:dyDescent="0.2">
      <c r="A5" s="8">
        <v>2023</v>
      </c>
      <c r="B5" s="9">
        <v>80204</v>
      </c>
      <c r="C5" s="9" t="s">
        <v>74</v>
      </c>
      <c r="D5" s="9" t="s">
        <v>84</v>
      </c>
      <c r="E5" s="9" t="s">
        <v>15</v>
      </c>
      <c r="F5" s="9" t="s">
        <v>16</v>
      </c>
      <c r="G5" s="9">
        <v>66.5</v>
      </c>
      <c r="H5" s="16">
        <v>35269</v>
      </c>
      <c r="I5" s="9" t="s">
        <v>22</v>
      </c>
      <c r="J5" s="9">
        <v>80204</v>
      </c>
      <c r="K5" s="9" t="s">
        <v>22</v>
      </c>
      <c r="L5" s="17" t="s">
        <v>23</v>
      </c>
      <c r="M5">
        <v>2</v>
      </c>
      <c r="P5">
        <f t="shared" si="0"/>
        <v>-1.1034493804018466</v>
      </c>
      <c r="R5">
        <f t="shared" si="1"/>
        <v>-0.11730464439517527</v>
      </c>
    </row>
    <row r="6" spans="1:18" x14ac:dyDescent="0.2">
      <c r="A6" s="6">
        <v>2023</v>
      </c>
      <c r="B6" s="7">
        <v>80204</v>
      </c>
      <c r="C6" s="7" t="s">
        <v>74</v>
      </c>
      <c r="D6" s="7" t="s">
        <v>84</v>
      </c>
      <c r="E6" s="7" t="s">
        <v>15</v>
      </c>
      <c r="F6" s="7" t="s">
        <v>16</v>
      </c>
      <c r="G6" s="7">
        <v>66.5</v>
      </c>
      <c r="H6" s="14">
        <v>35269</v>
      </c>
      <c r="I6" s="7" t="s">
        <v>24</v>
      </c>
      <c r="J6" s="7">
        <v>80204</v>
      </c>
      <c r="K6" s="7" t="s">
        <v>24</v>
      </c>
      <c r="L6" s="15" t="s">
        <v>23</v>
      </c>
      <c r="M6">
        <v>1</v>
      </c>
      <c r="P6">
        <f t="shared" si="0"/>
        <v>-1.1034493804018466</v>
      </c>
      <c r="R6">
        <f t="shared" si="1"/>
        <v>-0.9970894773589899</v>
      </c>
    </row>
    <row r="7" spans="1:18" x14ac:dyDescent="0.2">
      <c r="A7" s="8">
        <v>2023</v>
      </c>
      <c r="B7" s="9">
        <v>80204</v>
      </c>
      <c r="C7" s="9" t="s">
        <v>74</v>
      </c>
      <c r="D7" s="9" t="s">
        <v>84</v>
      </c>
      <c r="E7" s="9" t="s">
        <v>15</v>
      </c>
      <c r="F7" s="9" t="s">
        <v>16</v>
      </c>
      <c r="G7" s="9">
        <v>66.5</v>
      </c>
      <c r="H7" s="16">
        <v>35269</v>
      </c>
      <c r="I7" s="9" t="s">
        <v>25</v>
      </c>
      <c r="J7" s="9">
        <v>80204</v>
      </c>
      <c r="K7" s="9" t="s">
        <v>25</v>
      </c>
      <c r="L7" s="17" t="s">
        <v>23</v>
      </c>
      <c r="M7">
        <v>1</v>
      </c>
      <c r="P7">
        <f t="shared" si="0"/>
        <v>-1.1034493804018466</v>
      </c>
      <c r="R7">
        <f t="shared" si="1"/>
        <v>-0.9970894773589899</v>
      </c>
    </row>
    <row r="8" spans="1:18" x14ac:dyDescent="0.2">
      <c r="A8" s="6">
        <v>2023</v>
      </c>
      <c r="B8" s="7">
        <v>80204</v>
      </c>
      <c r="C8" s="7" t="s">
        <v>74</v>
      </c>
      <c r="D8" s="7" t="s">
        <v>84</v>
      </c>
      <c r="E8" s="7" t="s">
        <v>15</v>
      </c>
      <c r="F8" s="7" t="s">
        <v>16</v>
      </c>
      <c r="G8" s="7">
        <v>66.5</v>
      </c>
      <c r="H8" s="14">
        <v>35269</v>
      </c>
      <c r="I8" s="7" t="s">
        <v>26</v>
      </c>
      <c r="J8" s="7">
        <v>80204</v>
      </c>
      <c r="K8" s="7" t="s">
        <v>26</v>
      </c>
      <c r="L8" s="15" t="s">
        <v>21</v>
      </c>
      <c r="M8">
        <v>1</v>
      </c>
      <c r="P8">
        <f t="shared" si="0"/>
        <v>-1.1034493804018466</v>
      </c>
      <c r="R8">
        <f t="shared" si="1"/>
        <v>-0.9970894773589899</v>
      </c>
    </row>
    <row r="9" spans="1:18" x14ac:dyDescent="0.2">
      <c r="A9" s="8">
        <v>2023</v>
      </c>
      <c r="B9" s="9">
        <v>80205</v>
      </c>
      <c r="C9" s="9" t="s">
        <v>74</v>
      </c>
      <c r="D9" s="9" t="s">
        <v>84</v>
      </c>
      <c r="E9" s="9" t="s">
        <v>15</v>
      </c>
      <c r="F9" s="9" t="s">
        <v>16</v>
      </c>
      <c r="G9" s="9">
        <v>67.599999999999994</v>
      </c>
      <c r="H9" s="16">
        <v>34967</v>
      </c>
      <c r="I9" s="9" t="s">
        <v>27</v>
      </c>
      <c r="J9" s="9">
        <v>80205</v>
      </c>
      <c r="K9" s="9" t="s">
        <v>27</v>
      </c>
      <c r="L9" s="17" t="s">
        <v>21</v>
      </c>
      <c r="M9">
        <v>1</v>
      </c>
      <c r="P9">
        <f t="shared" si="0"/>
        <v>-0.59558564883615195</v>
      </c>
      <c r="R9">
        <f t="shared" si="1"/>
        <v>-0.9970894773589899</v>
      </c>
    </row>
    <row r="10" spans="1:18" x14ac:dyDescent="0.2">
      <c r="A10" s="6">
        <v>2023</v>
      </c>
      <c r="B10" s="7">
        <v>80205</v>
      </c>
      <c r="C10" s="7" t="s">
        <v>74</v>
      </c>
      <c r="D10" s="7" t="s">
        <v>84</v>
      </c>
      <c r="E10" s="7" t="s">
        <v>15</v>
      </c>
      <c r="F10" s="7" t="s">
        <v>16</v>
      </c>
      <c r="G10" s="7">
        <v>67.599999999999994</v>
      </c>
      <c r="H10" s="14">
        <v>34967</v>
      </c>
      <c r="I10" s="7" t="s">
        <v>28</v>
      </c>
      <c r="J10" s="7">
        <v>80205</v>
      </c>
      <c r="K10" s="7" t="s">
        <v>28</v>
      </c>
      <c r="L10" s="15" t="s">
        <v>23</v>
      </c>
      <c r="M10">
        <v>2</v>
      </c>
      <c r="P10">
        <f t="shared" si="0"/>
        <v>-0.59558564883615195</v>
      </c>
      <c r="R10">
        <f t="shared" si="1"/>
        <v>-0.11730464439517527</v>
      </c>
    </row>
    <row r="11" spans="1:18" x14ac:dyDescent="0.2">
      <c r="A11" s="8">
        <v>2023</v>
      </c>
      <c r="B11" s="9">
        <v>80205</v>
      </c>
      <c r="C11" s="9" t="s">
        <v>74</v>
      </c>
      <c r="D11" s="9" t="s">
        <v>84</v>
      </c>
      <c r="E11" s="9" t="s">
        <v>15</v>
      </c>
      <c r="F11" s="9" t="s">
        <v>16</v>
      </c>
      <c r="G11" s="9">
        <v>67.599999999999994</v>
      </c>
      <c r="H11" s="16">
        <v>34967</v>
      </c>
      <c r="I11" s="9" t="s">
        <v>29</v>
      </c>
      <c r="J11" s="9">
        <v>80205</v>
      </c>
      <c r="K11" s="9" t="s">
        <v>29</v>
      </c>
      <c r="L11" s="17" t="s">
        <v>23</v>
      </c>
      <c r="M11">
        <v>1</v>
      </c>
      <c r="P11">
        <f t="shared" si="0"/>
        <v>-0.59558564883615195</v>
      </c>
      <c r="R11">
        <f t="shared" si="1"/>
        <v>-0.9970894773589899</v>
      </c>
    </row>
    <row r="12" spans="1:18" x14ac:dyDescent="0.2">
      <c r="A12" s="6">
        <v>2023</v>
      </c>
      <c r="B12" s="7">
        <v>80205</v>
      </c>
      <c r="C12" s="7" t="s">
        <v>74</v>
      </c>
      <c r="D12" s="7" t="s">
        <v>84</v>
      </c>
      <c r="E12" s="7" t="s">
        <v>15</v>
      </c>
      <c r="F12" s="7" t="s">
        <v>16</v>
      </c>
      <c r="G12" s="7">
        <v>67.599999999999994</v>
      </c>
      <c r="H12" s="14">
        <v>34967</v>
      </c>
      <c r="I12" s="7" t="s">
        <v>30</v>
      </c>
      <c r="J12" s="7">
        <v>80205</v>
      </c>
      <c r="K12" s="7" t="s">
        <v>30</v>
      </c>
      <c r="L12" s="15" t="s">
        <v>23</v>
      </c>
      <c r="M12">
        <v>1</v>
      </c>
      <c r="P12">
        <f t="shared" si="0"/>
        <v>-0.59558564883615195</v>
      </c>
      <c r="R12">
        <f t="shared" si="1"/>
        <v>-0.9970894773589899</v>
      </c>
    </row>
    <row r="13" spans="1:18" x14ac:dyDescent="0.2">
      <c r="A13" s="8">
        <v>2023</v>
      </c>
      <c r="B13" s="9">
        <v>80205</v>
      </c>
      <c r="C13" s="9" t="s">
        <v>74</v>
      </c>
      <c r="D13" s="9" t="s">
        <v>84</v>
      </c>
      <c r="E13" s="9" t="s">
        <v>15</v>
      </c>
      <c r="F13" s="9" t="s">
        <v>16</v>
      </c>
      <c r="G13" s="9">
        <v>67.599999999999994</v>
      </c>
      <c r="H13" s="16">
        <v>34967</v>
      </c>
      <c r="I13" s="9" t="s">
        <v>30</v>
      </c>
      <c r="J13" s="9">
        <v>80205</v>
      </c>
      <c r="K13" s="9" t="s">
        <v>30</v>
      </c>
      <c r="L13" s="17" t="s">
        <v>23</v>
      </c>
      <c r="M13">
        <v>1</v>
      </c>
      <c r="P13">
        <f t="shared" si="0"/>
        <v>-0.59558564883615195</v>
      </c>
      <c r="R13">
        <f t="shared" si="1"/>
        <v>-0.9970894773589899</v>
      </c>
    </row>
    <row r="14" spans="1:18" x14ac:dyDescent="0.2">
      <c r="A14" s="6">
        <v>2023</v>
      </c>
      <c r="B14" s="7">
        <v>80206</v>
      </c>
      <c r="C14" s="7" t="s">
        <v>74</v>
      </c>
      <c r="D14" s="7" t="s">
        <v>84</v>
      </c>
      <c r="E14" s="7" t="s">
        <v>15</v>
      </c>
      <c r="F14" s="7" t="s">
        <v>16</v>
      </c>
      <c r="G14" s="7">
        <v>70.7</v>
      </c>
      <c r="H14" s="14">
        <v>26108</v>
      </c>
      <c r="I14" s="7" t="s">
        <v>27</v>
      </c>
      <c r="J14" s="7">
        <v>80206</v>
      </c>
      <c r="K14" s="7" t="s">
        <v>27</v>
      </c>
      <c r="L14" s="15" t="s">
        <v>21</v>
      </c>
      <c r="M14">
        <v>2</v>
      </c>
      <c r="P14">
        <f t="shared" si="0"/>
        <v>0.83566668557627166</v>
      </c>
      <c r="R14">
        <f t="shared" si="1"/>
        <v>-0.11730464439517527</v>
      </c>
    </row>
    <row r="15" spans="1:18" x14ac:dyDescent="0.2">
      <c r="A15" s="8">
        <v>2023</v>
      </c>
      <c r="B15" s="9">
        <v>80206</v>
      </c>
      <c r="C15" s="9" t="s">
        <v>74</v>
      </c>
      <c r="D15" s="9" t="s">
        <v>84</v>
      </c>
      <c r="E15" s="9" t="s">
        <v>15</v>
      </c>
      <c r="F15" s="9" t="s">
        <v>16</v>
      </c>
      <c r="G15" s="9">
        <v>70.7</v>
      </c>
      <c r="H15" s="16">
        <v>26108</v>
      </c>
      <c r="I15" s="9" t="s">
        <v>31</v>
      </c>
      <c r="J15" s="9">
        <v>80206</v>
      </c>
      <c r="K15" s="9" t="s">
        <v>31</v>
      </c>
      <c r="L15" s="17" t="s">
        <v>18</v>
      </c>
      <c r="M15">
        <v>2</v>
      </c>
      <c r="P15">
        <f t="shared" si="0"/>
        <v>0.83566668557627166</v>
      </c>
      <c r="R15">
        <f t="shared" si="1"/>
        <v>-0.11730464439517527</v>
      </c>
    </row>
    <row r="16" spans="1:18" x14ac:dyDescent="0.2">
      <c r="A16" s="6">
        <v>2023</v>
      </c>
      <c r="B16" s="7">
        <v>80206</v>
      </c>
      <c r="C16" s="7" t="s">
        <v>74</v>
      </c>
      <c r="D16" s="7" t="s">
        <v>84</v>
      </c>
      <c r="E16" s="7" t="s">
        <v>15</v>
      </c>
      <c r="F16" s="7" t="s">
        <v>16</v>
      </c>
      <c r="G16" s="7">
        <v>70.7</v>
      </c>
      <c r="H16" s="14">
        <v>26108</v>
      </c>
      <c r="I16" s="7" t="s">
        <v>32</v>
      </c>
      <c r="J16" s="7">
        <v>80206</v>
      </c>
      <c r="K16" s="7" t="s">
        <v>32</v>
      </c>
      <c r="L16" s="15" t="s">
        <v>23</v>
      </c>
      <c r="M16">
        <v>4</v>
      </c>
      <c r="P16">
        <f t="shared" si="0"/>
        <v>0.83566668557627166</v>
      </c>
      <c r="R16">
        <f t="shared" si="1"/>
        <v>1.6422650215324541</v>
      </c>
    </row>
    <row r="17" spans="1:18" x14ac:dyDescent="0.2">
      <c r="A17" s="8">
        <v>2023</v>
      </c>
      <c r="B17" s="9">
        <v>80206</v>
      </c>
      <c r="C17" s="9" t="s">
        <v>74</v>
      </c>
      <c r="D17" s="9" t="s">
        <v>84</v>
      </c>
      <c r="E17" s="9" t="s">
        <v>15</v>
      </c>
      <c r="F17" s="9" t="s">
        <v>16</v>
      </c>
      <c r="G17" s="9">
        <v>70.7</v>
      </c>
      <c r="H17" s="16">
        <v>26108</v>
      </c>
      <c r="I17" s="9" t="s">
        <v>33</v>
      </c>
      <c r="J17" s="9">
        <v>80206</v>
      </c>
      <c r="K17" s="9" t="s">
        <v>33</v>
      </c>
      <c r="L17" s="17" t="s">
        <v>21</v>
      </c>
      <c r="M17">
        <v>1</v>
      </c>
      <c r="P17">
        <f t="shared" si="0"/>
        <v>0.83566668557627166</v>
      </c>
      <c r="R17">
        <f t="shared" si="1"/>
        <v>-0.9970894773589899</v>
      </c>
    </row>
    <row r="18" spans="1:18" x14ac:dyDescent="0.2">
      <c r="A18" s="6">
        <v>2023</v>
      </c>
      <c r="B18" s="7">
        <v>80207</v>
      </c>
      <c r="C18" s="7" t="s">
        <v>74</v>
      </c>
      <c r="D18" s="7" t="s">
        <v>84</v>
      </c>
      <c r="E18" s="7" t="s">
        <v>15</v>
      </c>
      <c r="F18" s="7" t="s">
        <v>16</v>
      </c>
      <c r="G18" s="7">
        <v>73.099999999999994</v>
      </c>
      <c r="H18" s="14">
        <v>21170</v>
      </c>
      <c r="I18" s="7" t="s">
        <v>34</v>
      </c>
      <c r="J18" s="7">
        <v>80207</v>
      </c>
      <c r="K18" s="7" t="s">
        <v>34</v>
      </c>
      <c r="L18" s="15" t="s">
        <v>20</v>
      </c>
      <c r="M18">
        <v>3</v>
      </c>
      <c r="P18">
        <f t="shared" si="0"/>
        <v>1.9437330089923346</v>
      </c>
      <c r="R18">
        <f t="shared" si="1"/>
        <v>0.76248018856863942</v>
      </c>
    </row>
    <row r="19" spans="1:18" x14ac:dyDescent="0.2">
      <c r="A19" s="8">
        <v>2023</v>
      </c>
      <c r="B19" s="9">
        <v>80207</v>
      </c>
      <c r="C19" s="9" t="s">
        <v>74</v>
      </c>
      <c r="D19" s="9" t="s">
        <v>84</v>
      </c>
      <c r="E19" s="9" t="s">
        <v>15</v>
      </c>
      <c r="F19" s="9" t="s">
        <v>16</v>
      </c>
      <c r="G19" s="9">
        <v>73.099999999999994</v>
      </c>
      <c r="H19" s="16">
        <v>21170</v>
      </c>
      <c r="I19" s="9" t="s">
        <v>35</v>
      </c>
      <c r="J19" s="9">
        <v>80207</v>
      </c>
      <c r="K19" s="9" t="s">
        <v>35</v>
      </c>
      <c r="L19" s="17" t="s">
        <v>20</v>
      </c>
      <c r="M19">
        <v>3</v>
      </c>
      <c r="P19">
        <f t="shared" si="0"/>
        <v>1.9437330089923346</v>
      </c>
      <c r="R19">
        <f t="shared" si="1"/>
        <v>0.76248018856863942</v>
      </c>
    </row>
    <row r="20" spans="1:18" x14ac:dyDescent="0.2">
      <c r="A20" s="6">
        <v>2023</v>
      </c>
      <c r="B20" s="7">
        <v>80209</v>
      </c>
      <c r="C20" s="7" t="s">
        <v>74</v>
      </c>
      <c r="D20" s="7" t="s">
        <v>84</v>
      </c>
      <c r="E20" s="7" t="s">
        <v>15</v>
      </c>
      <c r="F20" s="7" t="s">
        <v>16</v>
      </c>
      <c r="G20" s="7">
        <v>71.5</v>
      </c>
      <c r="H20" s="14">
        <v>27061</v>
      </c>
      <c r="I20" s="7" t="s">
        <v>32</v>
      </c>
      <c r="J20" s="7">
        <v>80209</v>
      </c>
      <c r="K20" s="7" t="s">
        <v>32</v>
      </c>
      <c r="L20" s="15" t="s">
        <v>23</v>
      </c>
      <c r="M20">
        <v>4</v>
      </c>
      <c r="P20">
        <f t="shared" si="0"/>
        <v>1.2050221267149592</v>
      </c>
      <c r="R20">
        <f t="shared" si="1"/>
        <v>1.6422650215324541</v>
      </c>
    </row>
    <row r="21" spans="1:18" x14ac:dyDescent="0.2">
      <c r="A21" s="8">
        <v>2023</v>
      </c>
      <c r="B21" s="9">
        <v>80209</v>
      </c>
      <c r="C21" s="9" t="s">
        <v>74</v>
      </c>
      <c r="D21" s="9" t="s">
        <v>84</v>
      </c>
      <c r="E21" s="9" t="s">
        <v>15</v>
      </c>
      <c r="F21" s="9" t="s">
        <v>16</v>
      </c>
      <c r="G21" s="9">
        <v>71.5</v>
      </c>
      <c r="H21" s="16">
        <v>27061</v>
      </c>
      <c r="I21" s="9" t="s">
        <v>17</v>
      </c>
      <c r="J21" s="9">
        <v>80209</v>
      </c>
      <c r="K21" s="9" t="s">
        <v>17</v>
      </c>
      <c r="L21" s="17" t="s">
        <v>18</v>
      </c>
      <c r="M21">
        <v>1</v>
      </c>
      <c r="P21">
        <f t="shared" si="0"/>
        <v>1.2050221267149592</v>
      </c>
      <c r="R21">
        <f t="shared" si="1"/>
        <v>-0.9970894773589899</v>
      </c>
    </row>
    <row r="22" spans="1:18" x14ac:dyDescent="0.2">
      <c r="A22" s="6">
        <v>2023</v>
      </c>
      <c r="B22" s="7">
        <v>80209</v>
      </c>
      <c r="C22" s="7" t="s">
        <v>74</v>
      </c>
      <c r="D22" s="7" t="s">
        <v>84</v>
      </c>
      <c r="E22" s="7" t="s">
        <v>15</v>
      </c>
      <c r="F22" s="7" t="s">
        <v>16</v>
      </c>
      <c r="G22" s="7">
        <v>71.5</v>
      </c>
      <c r="H22" s="14">
        <v>27061</v>
      </c>
      <c r="I22" s="7" t="s">
        <v>36</v>
      </c>
      <c r="J22" s="7">
        <v>80209</v>
      </c>
      <c r="K22" s="7" t="s">
        <v>36</v>
      </c>
      <c r="L22" s="15" t="s">
        <v>18</v>
      </c>
      <c r="M22">
        <v>4</v>
      </c>
      <c r="P22">
        <f t="shared" si="0"/>
        <v>1.2050221267149592</v>
      </c>
      <c r="R22">
        <f t="shared" si="1"/>
        <v>1.6422650215324541</v>
      </c>
    </row>
    <row r="23" spans="1:18" x14ac:dyDescent="0.2">
      <c r="A23" s="8">
        <v>2023</v>
      </c>
      <c r="B23" s="9">
        <v>80209</v>
      </c>
      <c r="C23" s="9" t="s">
        <v>74</v>
      </c>
      <c r="D23" s="9" t="s">
        <v>84</v>
      </c>
      <c r="E23" s="9" t="s">
        <v>15</v>
      </c>
      <c r="F23" s="9" t="s">
        <v>16</v>
      </c>
      <c r="G23" s="9">
        <v>71.5</v>
      </c>
      <c r="H23" s="16">
        <v>27061</v>
      </c>
      <c r="I23" s="9" t="s">
        <v>37</v>
      </c>
      <c r="J23" s="9">
        <v>80209</v>
      </c>
      <c r="K23" s="9" t="s">
        <v>37</v>
      </c>
      <c r="L23" s="17" t="s">
        <v>18</v>
      </c>
      <c r="M23">
        <v>4</v>
      </c>
      <c r="P23">
        <f t="shared" si="0"/>
        <v>1.2050221267149592</v>
      </c>
      <c r="R23">
        <f t="shared" si="1"/>
        <v>1.6422650215324541</v>
      </c>
    </row>
    <row r="24" spans="1:18" x14ac:dyDescent="0.2">
      <c r="A24" s="6">
        <v>2023</v>
      </c>
      <c r="B24" s="7">
        <v>80210</v>
      </c>
      <c r="C24" s="7" t="s">
        <v>74</v>
      </c>
      <c r="D24" s="7" t="s">
        <v>84</v>
      </c>
      <c r="E24" s="7" t="s">
        <v>15</v>
      </c>
      <c r="F24" s="7" t="s">
        <v>16</v>
      </c>
      <c r="G24" s="7">
        <v>69.400000000000006</v>
      </c>
      <c r="H24" s="14">
        <v>39394</v>
      </c>
      <c r="I24" s="7" t="s">
        <v>38</v>
      </c>
      <c r="J24" s="7">
        <v>80210</v>
      </c>
      <c r="K24" s="7" t="s">
        <v>38</v>
      </c>
      <c r="L24" s="15" t="s">
        <v>21</v>
      </c>
      <c r="M24">
        <v>4</v>
      </c>
      <c r="P24">
        <f t="shared" si="0"/>
        <v>0.23546409372590343</v>
      </c>
      <c r="R24">
        <f t="shared" si="1"/>
        <v>1.6422650215324541</v>
      </c>
    </row>
    <row r="25" spans="1:18" x14ac:dyDescent="0.2">
      <c r="A25" s="8">
        <v>2023</v>
      </c>
      <c r="B25" s="9">
        <v>80210</v>
      </c>
      <c r="C25" s="9" t="s">
        <v>74</v>
      </c>
      <c r="D25" s="9" t="s">
        <v>84</v>
      </c>
      <c r="E25" s="9" t="s">
        <v>15</v>
      </c>
      <c r="F25" s="9" t="s">
        <v>16</v>
      </c>
      <c r="G25" s="9">
        <v>69.400000000000006</v>
      </c>
      <c r="H25" s="16">
        <v>39394</v>
      </c>
      <c r="I25" s="9" t="s">
        <v>39</v>
      </c>
      <c r="J25" s="9">
        <v>80210</v>
      </c>
      <c r="K25" s="9" t="s">
        <v>39</v>
      </c>
      <c r="L25" s="17" t="s">
        <v>21</v>
      </c>
      <c r="M25">
        <v>2</v>
      </c>
      <c r="P25">
        <f t="shared" si="0"/>
        <v>0.23546409372590343</v>
      </c>
      <c r="R25">
        <f t="shared" si="1"/>
        <v>-0.11730464439517527</v>
      </c>
    </row>
    <row r="26" spans="1:18" x14ac:dyDescent="0.2">
      <c r="A26" s="6">
        <v>2023</v>
      </c>
      <c r="B26" s="7">
        <v>80210</v>
      </c>
      <c r="C26" s="7" t="s">
        <v>74</v>
      </c>
      <c r="D26" s="7" t="s">
        <v>84</v>
      </c>
      <c r="E26" s="7" t="s">
        <v>15</v>
      </c>
      <c r="F26" s="7" t="s">
        <v>16</v>
      </c>
      <c r="G26" s="7">
        <v>69.400000000000006</v>
      </c>
      <c r="H26" s="14">
        <v>39394</v>
      </c>
      <c r="I26" s="7" t="s">
        <v>40</v>
      </c>
      <c r="J26" s="7">
        <v>80210</v>
      </c>
      <c r="K26" s="7" t="s">
        <v>40</v>
      </c>
      <c r="L26" s="15" t="s">
        <v>21</v>
      </c>
      <c r="M26">
        <v>2</v>
      </c>
      <c r="P26">
        <f t="shared" si="0"/>
        <v>0.23546409372590343</v>
      </c>
      <c r="R26">
        <f t="shared" si="1"/>
        <v>-0.11730464439517527</v>
      </c>
    </row>
    <row r="27" spans="1:18" x14ac:dyDescent="0.2">
      <c r="A27" s="8">
        <v>2023</v>
      </c>
      <c r="B27" s="9">
        <v>80210</v>
      </c>
      <c r="C27" s="9" t="s">
        <v>74</v>
      </c>
      <c r="D27" s="9" t="s">
        <v>84</v>
      </c>
      <c r="E27" s="9" t="s">
        <v>15</v>
      </c>
      <c r="F27" s="9" t="s">
        <v>16</v>
      </c>
      <c r="G27" s="9">
        <v>69.400000000000006</v>
      </c>
      <c r="H27" s="16">
        <v>39394</v>
      </c>
      <c r="I27" s="9" t="s">
        <v>41</v>
      </c>
      <c r="J27" s="9">
        <v>80210</v>
      </c>
      <c r="K27" s="9" t="s">
        <v>41</v>
      </c>
      <c r="L27" s="17" t="s">
        <v>21</v>
      </c>
      <c r="M27">
        <v>2</v>
      </c>
      <c r="P27">
        <f t="shared" si="0"/>
        <v>0.23546409372590343</v>
      </c>
      <c r="R27">
        <f t="shared" si="1"/>
        <v>-0.11730464439517527</v>
      </c>
    </row>
    <row r="28" spans="1:18" x14ac:dyDescent="0.2">
      <c r="A28" s="6">
        <v>2023</v>
      </c>
      <c r="B28" s="7">
        <v>80210</v>
      </c>
      <c r="C28" s="7" t="s">
        <v>74</v>
      </c>
      <c r="D28" s="7" t="s">
        <v>84</v>
      </c>
      <c r="E28" s="7" t="s">
        <v>15</v>
      </c>
      <c r="F28" s="7" t="s">
        <v>16</v>
      </c>
      <c r="G28" s="7">
        <v>69.400000000000006</v>
      </c>
      <c r="H28" s="14">
        <v>39394</v>
      </c>
      <c r="I28" s="7" t="s">
        <v>42</v>
      </c>
      <c r="J28" s="7">
        <v>80210</v>
      </c>
      <c r="K28" s="7" t="s">
        <v>42</v>
      </c>
      <c r="L28" s="15" t="s">
        <v>18</v>
      </c>
      <c r="M28">
        <v>2</v>
      </c>
      <c r="P28">
        <f t="shared" si="0"/>
        <v>0.23546409372590343</v>
      </c>
      <c r="R28">
        <f t="shared" si="1"/>
        <v>-0.11730464439517527</v>
      </c>
    </row>
    <row r="29" spans="1:18" x14ac:dyDescent="0.2">
      <c r="A29" s="8">
        <v>2023</v>
      </c>
      <c r="B29" s="9">
        <v>80211</v>
      </c>
      <c r="C29" s="9" t="s">
        <v>74</v>
      </c>
      <c r="D29" s="9" t="s">
        <v>84</v>
      </c>
      <c r="E29" s="9" t="s">
        <v>15</v>
      </c>
      <c r="F29" s="9" t="s">
        <v>16</v>
      </c>
      <c r="G29" s="9">
        <v>67.2</v>
      </c>
      <c r="H29" s="16">
        <v>37940</v>
      </c>
      <c r="I29" s="9" t="s">
        <v>43</v>
      </c>
      <c r="J29" s="9">
        <v>80211</v>
      </c>
      <c r="K29" s="9" t="s">
        <v>43</v>
      </c>
      <c r="L29" s="17" t="s">
        <v>23</v>
      </c>
      <c r="M29">
        <v>2</v>
      </c>
      <c r="P29">
        <f t="shared" si="0"/>
        <v>-0.78026336940549246</v>
      </c>
      <c r="R29">
        <f t="shared" si="1"/>
        <v>-0.11730464439517527</v>
      </c>
    </row>
    <row r="30" spans="1:18" x14ac:dyDescent="0.2">
      <c r="A30" s="6">
        <v>2023</v>
      </c>
      <c r="B30" s="7">
        <v>80211</v>
      </c>
      <c r="C30" s="7" t="s">
        <v>74</v>
      </c>
      <c r="D30" s="7" t="s">
        <v>84</v>
      </c>
      <c r="E30" s="7" t="s">
        <v>15</v>
      </c>
      <c r="F30" s="7" t="s">
        <v>16</v>
      </c>
      <c r="G30" s="7">
        <v>67.2</v>
      </c>
      <c r="H30" s="14">
        <v>37940</v>
      </c>
      <c r="I30" s="7" t="s">
        <v>44</v>
      </c>
      <c r="J30" s="7">
        <v>80211</v>
      </c>
      <c r="K30" s="7" t="s">
        <v>44</v>
      </c>
      <c r="L30" s="15" t="s">
        <v>23</v>
      </c>
      <c r="M30">
        <v>1</v>
      </c>
      <c r="P30">
        <f t="shared" si="0"/>
        <v>-0.78026336940549246</v>
      </c>
      <c r="R30">
        <f t="shared" si="1"/>
        <v>-0.9970894773589899</v>
      </c>
    </row>
    <row r="31" spans="1:18" x14ac:dyDescent="0.2">
      <c r="A31" s="8">
        <v>2023</v>
      </c>
      <c r="B31" s="9">
        <v>80211</v>
      </c>
      <c r="C31" s="9" t="s">
        <v>74</v>
      </c>
      <c r="D31" s="9" t="s">
        <v>84</v>
      </c>
      <c r="E31" s="9" t="s">
        <v>15</v>
      </c>
      <c r="F31" s="9" t="s">
        <v>16</v>
      </c>
      <c r="G31" s="9">
        <v>67.2</v>
      </c>
      <c r="H31" s="16">
        <v>37940</v>
      </c>
      <c r="I31" s="9" t="s">
        <v>45</v>
      </c>
      <c r="J31" s="9">
        <v>80211</v>
      </c>
      <c r="K31" s="9" t="s">
        <v>45</v>
      </c>
      <c r="L31" s="17" t="s">
        <v>21</v>
      </c>
      <c r="M31">
        <v>1</v>
      </c>
      <c r="P31">
        <f t="shared" si="0"/>
        <v>-0.78026336940549246</v>
      </c>
      <c r="R31">
        <f t="shared" si="1"/>
        <v>-0.9970894773589899</v>
      </c>
    </row>
    <row r="33" spans="1:13" x14ac:dyDescent="0.2">
      <c r="F33" s="19" t="s">
        <v>46</v>
      </c>
      <c r="G33">
        <f>AVERAGE(G2:G31)</f>
        <v>68.890000000000029</v>
      </c>
      <c r="L33" t="s">
        <v>46</v>
      </c>
      <c r="M33">
        <f>AVERAGE(M2:M31)</f>
        <v>2.1333333333333333</v>
      </c>
    </row>
    <row r="34" spans="1:13" x14ac:dyDescent="0.2">
      <c r="F34" s="18" t="s">
        <v>47</v>
      </c>
      <c r="G34">
        <f>_xlfn.STDEV.S(G2:G31)</f>
        <v>2.1659353319222086</v>
      </c>
      <c r="L34" t="s">
        <v>47</v>
      </c>
      <c r="M34">
        <f>_xlfn.STDEV.S(M2:M31)</f>
        <v>1.1366415543118709</v>
      </c>
    </row>
    <row r="36" spans="1:13" x14ac:dyDescent="0.2">
      <c r="A36" t="s">
        <v>48</v>
      </c>
    </row>
    <row r="37" spans="1:13" ht="17" thickBot="1" x14ac:dyDescent="0.25"/>
    <row r="38" spans="1:13" x14ac:dyDescent="0.2">
      <c r="A38" s="24" t="s">
        <v>49</v>
      </c>
      <c r="B38" s="24"/>
    </row>
    <row r="39" spans="1:13" x14ac:dyDescent="0.2">
      <c r="A39" s="21" t="s">
        <v>50</v>
      </c>
      <c r="B39" s="21">
        <v>0.44877173342115323</v>
      </c>
    </row>
    <row r="40" spans="1:13" x14ac:dyDescent="0.2">
      <c r="A40" s="21" t="s">
        <v>51</v>
      </c>
      <c r="B40" s="21">
        <v>0.20139606871782664</v>
      </c>
    </row>
    <row r="41" spans="1:13" x14ac:dyDescent="0.2">
      <c r="A41" s="21" t="s">
        <v>52</v>
      </c>
      <c r="B41" s="21">
        <v>0.17287449974346331</v>
      </c>
    </row>
    <row r="42" spans="1:13" x14ac:dyDescent="0.2">
      <c r="A42" s="21" t="s">
        <v>53</v>
      </c>
      <c r="B42" s="21">
        <v>0.90946440296282993</v>
      </c>
    </row>
    <row r="43" spans="1:13" ht="17" thickBot="1" x14ac:dyDescent="0.25">
      <c r="A43" s="22" t="s">
        <v>54</v>
      </c>
      <c r="B43" s="22">
        <v>30</v>
      </c>
    </row>
    <row r="45" spans="1:13" ht="17" thickBot="1" x14ac:dyDescent="0.25">
      <c r="A45" t="s">
        <v>55</v>
      </c>
    </row>
    <row r="46" spans="1:13" x14ac:dyDescent="0.2">
      <c r="A46" s="23"/>
      <c r="B46" s="23" t="s">
        <v>56</v>
      </c>
      <c r="C46" s="23" t="s">
        <v>57</v>
      </c>
      <c r="D46" s="23" t="s">
        <v>58</v>
      </c>
      <c r="E46" s="23" t="s">
        <v>59</v>
      </c>
      <c r="F46" s="23" t="s">
        <v>60</v>
      </c>
    </row>
    <row r="47" spans="1:13" x14ac:dyDescent="0.2">
      <c r="A47" s="21" t="s">
        <v>61</v>
      </c>
      <c r="B47" s="21">
        <v>1</v>
      </c>
      <c r="C47" s="21">
        <v>5.8404859928169728</v>
      </c>
      <c r="D47" s="21">
        <v>5.8404859928169728</v>
      </c>
      <c r="E47" s="21">
        <v>7.0611847791000519</v>
      </c>
      <c r="F47" s="21">
        <v>1.2864816982257769E-2</v>
      </c>
    </row>
    <row r="48" spans="1:13" x14ac:dyDescent="0.2">
      <c r="A48" s="21" t="s">
        <v>62</v>
      </c>
      <c r="B48" s="21">
        <v>28</v>
      </c>
      <c r="C48" s="21">
        <v>23.159514007183027</v>
      </c>
      <c r="D48" s="21">
        <v>0.82712550025653664</v>
      </c>
      <c r="E48" s="21"/>
      <c r="F48" s="21"/>
    </row>
    <row r="49" spans="1:9" ht="17" thickBot="1" x14ac:dyDescent="0.25">
      <c r="A49" s="22" t="s">
        <v>63</v>
      </c>
      <c r="B49" s="22">
        <v>29</v>
      </c>
      <c r="C49" s="22">
        <v>29</v>
      </c>
      <c r="D49" s="22"/>
      <c r="E49" s="22"/>
      <c r="F49" s="22"/>
    </row>
    <row r="50" spans="1:9" ht="17" thickBot="1" x14ac:dyDescent="0.25"/>
    <row r="51" spans="1:9" x14ac:dyDescent="0.2">
      <c r="A51" s="23"/>
      <c r="B51" s="23" t="s">
        <v>64</v>
      </c>
      <c r="C51" s="23" t="s">
        <v>53</v>
      </c>
      <c r="D51" s="23" t="s">
        <v>65</v>
      </c>
      <c r="E51" s="23" t="s">
        <v>66</v>
      </c>
      <c r="F51" s="23" t="s">
        <v>67</v>
      </c>
      <c r="G51" s="23" t="s">
        <v>68</v>
      </c>
      <c r="H51" s="23" t="s">
        <v>69</v>
      </c>
      <c r="I51" s="23" t="s">
        <v>70</v>
      </c>
    </row>
    <row r="52" spans="1:9" x14ac:dyDescent="0.2">
      <c r="A52" s="21" t="s">
        <v>71</v>
      </c>
      <c r="B52" s="21">
        <v>-1.3471752618150836E-14</v>
      </c>
      <c r="C52" s="21">
        <v>0.16604472291690336</v>
      </c>
      <c r="D52" s="21">
        <v>-8.1133277718754951E-14</v>
      </c>
      <c r="E52" s="21">
        <v>1</v>
      </c>
      <c r="F52" s="21">
        <v>-0.34012719628041083</v>
      </c>
      <c r="G52" s="21">
        <v>0.3401271962803839</v>
      </c>
      <c r="H52" s="21">
        <v>-0.34012719628041083</v>
      </c>
      <c r="I52" s="21">
        <v>0.3401271962803839</v>
      </c>
    </row>
    <row r="53" spans="1:9" ht="17" thickBot="1" x14ac:dyDescent="0.25">
      <c r="A53" s="22" t="s">
        <v>121</v>
      </c>
      <c r="B53" s="22">
        <v>0.44877173342115234</v>
      </c>
      <c r="C53" s="22">
        <v>0.16888329986817321</v>
      </c>
      <c r="D53" s="22">
        <v>2.6572889905127042</v>
      </c>
      <c r="E53" s="22">
        <v>1.2864816982257945E-2</v>
      </c>
      <c r="F53" s="22">
        <v>0.10282997584123844</v>
      </c>
      <c r="G53" s="22">
        <v>0.79471349100106625</v>
      </c>
      <c r="H53" s="22">
        <v>0.10282997584123844</v>
      </c>
      <c r="I53" s="22">
        <v>0.79471349100106625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Overall Data</vt:lpstr>
      <vt:lpstr>Pivot Table + Figure</vt:lpstr>
      <vt:lpstr>Diabetes Regression</vt:lpstr>
      <vt:lpstr>Cancer Regression</vt:lpstr>
      <vt:lpstr>Doctor Visits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 Epstein</dc:creator>
  <cp:lastModifiedBy>Abe Epstein</cp:lastModifiedBy>
  <dcterms:created xsi:type="dcterms:W3CDTF">2026-04-14T02:49:17Z</dcterms:created>
  <dcterms:modified xsi:type="dcterms:W3CDTF">2026-04-14T03:27:00Z</dcterms:modified>
</cp:coreProperties>
</file>